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omments6.xml" ContentType="application/vnd.openxmlformats-officedocument.spreadsheetml.comments+xml"/>
  <Override PartName="/xl/comments2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4"/>
  </bookViews>
  <sheets>
    <sheet name="Resumen" sheetId="1" state="visible" r:id="rId3"/>
    <sheet name="Personal" sheetId="2" state="visible" r:id="rId4"/>
    <sheet name="Secondments PU" sheetId="3" state="visible" r:id="rId5"/>
    <sheet name="Mensual" sheetId="4" state="visible" r:id="rId6"/>
    <sheet name="Beneficios M7+" sheetId="5" state="visible" r:id="rId7"/>
    <sheet name="Supuestos" sheetId="6" state="visible" r:id="rId8"/>
  </sheets>
  <definedNames>
    <definedName function="false" hidden="false" localSheetId="4" name="_xlnm.Print_Area" vbProcedure="false">'Beneficios M7+'!$B$3:$M$29</definedName>
    <definedName function="false" hidden="false" localSheetId="3" name="_xlnm.Print_Area" vbProcedure="false">Mensual!$B$3:$S$21</definedName>
    <definedName function="false" hidden="false" localSheetId="3" name="_xlnm.Print_Titles" vbProcedure="false">Mensual!$10:$10</definedName>
    <definedName function="false" hidden="false" localSheetId="1" name="_xlnm.Print_Area" vbProcedure="false">Personal!$B$3:$AB$21</definedName>
    <definedName function="false" hidden="false" localSheetId="1" name="_xlnm.Print_Titles" vbProcedure="false">Personal!$10:$10</definedName>
    <definedName function="false" hidden="true" localSheetId="1" name="_xlnm._FilterDatabase" vbProcedure="false">Personal!$C$11:$AB$20</definedName>
    <definedName function="false" hidden="false" localSheetId="0" name="_xlnm.Print_Area" vbProcedure="false">Resumen!$B$3:$R$59</definedName>
    <definedName function="false" hidden="false" localSheetId="2" name="_xlnm.Print_Area" vbProcedure="false">'Secondments PU'!$B$3:$J$22</definedName>
    <definedName function="false" hidden="false" localSheetId="5" name="_xlnm.Print_Area" vbProcedure="false">Supuestos!$B$3:$J$23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2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1, campo #. Archivo: package_source_2026-09-05.jpeg.</t>
        </r>
      </text>
    </comment>
    <comment ref="C13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2, campo #. Archivo: package_source_2026-09-05.jpeg.</t>
        </r>
      </text>
    </comment>
    <comment ref="C14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3, campo #. Archivo: package_source_2026-09-05.jpeg.</t>
        </r>
      </text>
    </comment>
    <comment ref="C15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4, campo #. Archivo: package_source_2026-09-05.jpeg.</t>
        </r>
      </text>
    </comment>
    <comment ref="C16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5, campo #. Archivo: package_source_2026-09-05.jpeg.</t>
        </r>
      </text>
    </comment>
    <comment ref="C17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6, campo #. Archivo: package_source_2026-09-05.jpeg.</t>
        </r>
      </text>
    </comment>
    <comment ref="C18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7, campo #. Archivo: package_source_2026-09-05.jpeg.</t>
        </r>
      </text>
    </comment>
    <comment ref="C19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8, campo #. Archivo: package_source_2026-09-05.jpeg.</t>
        </r>
      </text>
    </comment>
    <comment ref="C20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9, campo #. Archivo: package_source_2026-09-05.jpeg.</t>
        </r>
      </text>
    </comment>
    <comment ref="D12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1, campo Position. Archivo: package_source_2026-09-05.jpeg.</t>
        </r>
      </text>
    </comment>
    <comment ref="D13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2, campo Position. Archivo: package_source_2026-09-05.jpeg.</t>
        </r>
      </text>
    </comment>
    <comment ref="D14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3, campo Position. Archivo: package_source_2026-09-05.jpeg.</t>
        </r>
      </text>
    </comment>
    <comment ref="D15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4, campo Position. Archivo: package_source_2026-09-05.jpeg.</t>
        </r>
      </text>
    </comment>
    <comment ref="D16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5, campo Position. Archivo: package_source_2026-09-05.jpeg.</t>
        </r>
      </text>
    </comment>
    <comment ref="D17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6, campo Position. Archivo: package_source_2026-09-05.jpeg.</t>
        </r>
      </text>
    </comment>
    <comment ref="D18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7, campo Position. Archivo: package_source_2026-09-05.jpeg.</t>
        </r>
      </text>
    </comment>
    <comment ref="D19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8, campo Position. Archivo: package_source_2026-09-05.jpeg.</t>
        </r>
      </text>
    </comment>
    <comment ref="D20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9, campo Position. Archivo: package_source_2026-09-05.jpeg.</t>
        </r>
      </text>
    </comment>
    <comment ref="E12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1, campo Person. Archivo: package_source_2026-09-05.jpeg.</t>
        </r>
      </text>
    </comment>
    <comment ref="E13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2, campo Person. Archivo: package_source_2026-09-05.jpeg.</t>
        </r>
      </text>
    </comment>
    <comment ref="E14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3, campo Person. Archivo: package_source_2026-09-05.jpeg.</t>
        </r>
      </text>
    </comment>
    <comment ref="E15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4, campo Person. Archivo: package_source_2026-09-05.jpeg.</t>
        </r>
      </text>
    </comment>
    <comment ref="E16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5, campo Person. Archivo: package_source_2026-09-05.jpeg.</t>
        </r>
      </text>
    </comment>
    <comment ref="E17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6, campo Person. Archivo: package_source_2026-09-05.jpeg.</t>
        </r>
      </text>
    </comment>
    <comment ref="E18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7, campo Person. Archivo: package_source_2026-09-05.jpeg.</t>
        </r>
      </text>
    </comment>
    <comment ref="E19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8, campo Person. Archivo: package_source_2026-09-05.jpeg.</t>
        </r>
      </text>
    </comment>
    <comment ref="E20" authorId="0">
      <text>
        <r>
          <rPr>
            <sz val="10"/>
            <rFont val="Arial"/>
            <family val="2"/>
          </rPr>
          <t xml:space="preserve">Fuente: instrucciones de la gerencia recibidas el 5 de septiembre de 2026. Operations Support permanece como TBD.</t>
        </r>
      </text>
    </comment>
    <comment ref="F12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1, campo Base Salary Annual — sin cambios. Archivo: package_source_2026-09-05.jpeg.</t>
        </r>
      </text>
    </comment>
    <comment ref="F13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2, campo Base Salary Annual — sin cambios. Archivo: package_source_2026-09-05.jpeg.</t>
        </r>
      </text>
    </comment>
    <comment ref="F14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3, campo Base Salary Annual — sin cambios. Archivo: package_source_2026-09-05.jpeg.</t>
        </r>
      </text>
    </comment>
    <comment ref="F15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4, campo Base Salary Annual — sin cambios. Archivo: package_source_2026-09-05.jpeg.</t>
        </r>
      </text>
    </comment>
    <comment ref="F16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5, campo Base Salary Annual — sin cambios. Archivo: package_source_2026-09-05.jpeg.</t>
        </r>
      </text>
    </comment>
    <comment ref="F17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6, campo Base Salary Annual — sin cambios. Archivo: package_source_2026-09-05.jpeg.</t>
        </r>
      </text>
    </comment>
    <comment ref="F18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7, campo Base Salary Annual — sin cambios. Archivo: package_source_2026-09-05.jpeg.</t>
        </r>
      </text>
    </comment>
    <comment ref="F19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8, campo Base Salary Annual — sin cambios. Archivo: package_source_2026-09-05.jpeg.</t>
        </r>
      </text>
    </comment>
    <comment ref="F20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9, campo Base Salary Annual — sin cambios. Archivo: package_source_2026-09-05.jpeg.</t>
        </r>
      </text>
    </comment>
    <comment ref="G12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1, campo Medical Insurance. Archivo: package_source_2026-09-05.jpeg.</t>
        </r>
      </text>
    </comment>
    <comment ref="G13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2, campo Medical Insurance. Archivo: package_source_2026-09-05.jpeg.</t>
        </r>
      </text>
    </comment>
    <comment ref="G14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3, campo Medical Insurance. Archivo: package_source_2026-09-05.jpeg.</t>
        </r>
      </text>
    </comment>
    <comment ref="G15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4, campo Medical Insurance. Archivo: package_source_2026-09-05.jpeg.</t>
        </r>
      </text>
    </comment>
    <comment ref="G16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5, campo Medical Insurance. Archivo: package_source_2026-09-05.jpeg.</t>
        </r>
      </text>
    </comment>
    <comment ref="G17" authorId="0">
      <text>
        <r>
          <rPr>
            <sz val="10"/>
            <rFont val="Arial"/>
            <family val="2"/>
          </rPr>
          <t xml:space="preserve">Fuente: instrucciones de la gerencia recibidas el 5 de septiembre de 2026. JJI es Remote y no recibe seguro médico.</t>
        </r>
      </text>
    </comment>
    <comment ref="G18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7, campo Medical Insurance. Archivo: package_source_2026-09-05.jpeg.</t>
        </r>
      </text>
    </comment>
    <comment ref="G19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8, campo Medical Insurance. Archivo: package_source_2026-09-05.jpeg.</t>
        </r>
      </text>
    </comment>
    <comment ref="G20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9, campo Medical Insurance. Archivo: package_source_2026-09-05.jpeg.</t>
        </r>
      </text>
    </comment>
    <comment ref="H12" authorId="0">
      <text>
        <r>
          <rPr>
            <sz val="10"/>
            <rFont val="Arial"/>
            <family val="2"/>
          </rPr>
          <t xml:space="preserve">Fuente: instrucciones de la gerencia recibidas el 5 de septiembre de 2026. M1–M6: sin beneficios, excepto seguro médico.</t>
        </r>
      </text>
    </comment>
    <comment ref="H13" authorId="0">
      <text>
        <r>
          <rPr>
            <sz val="10"/>
            <rFont val="Arial"/>
            <family val="2"/>
          </rPr>
          <t xml:space="preserve">Fuente: instrucciones de la gerencia recibidas el 5 de septiembre de 2026. M1–M6: sin beneficios, excepto seguro médico.</t>
        </r>
      </text>
    </comment>
    <comment ref="H14" authorId="0">
      <text>
        <r>
          <rPr>
            <sz val="10"/>
            <rFont val="Arial"/>
            <family val="2"/>
          </rPr>
          <t xml:space="preserve">Fuente: instrucciones de la gerencia recibidas el 5 de septiembre de 2026. M1–M6: sin beneficios, excepto seguro médico.</t>
        </r>
      </text>
    </comment>
    <comment ref="H15" authorId="0">
      <text>
        <r>
          <rPr>
            <sz val="10"/>
            <rFont val="Arial"/>
            <family val="2"/>
          </rPr>
          <t xml:space="preserve">Fuente: instrucciones de la gerencia recibidas el 5 de septiembre de 2026. M1–M6: sin beneficios, excepto seguro médico.</t>
        </r>
      </text>
    </comment>
    <comment ref="H16" authorId="0">
      <text>
        <r>
          <rPr>
            <sz val="10"/>
            <rFont val="Arial"/>
            <family val="2"/>
          </rPr>
          <t xml:space="preserve">Fuente: instrucciones de la gerencia recibidas el 5 de septiembre de 2026. M1–M6: sin beneficios, excepto seguro médico.</t>
        </r>
      </text>
    </comment>
    <comment ref="H17" authorId="0">
      <text>
        <r>
          <rPr>
            <sz val="10"/>
            <rFont val="Arial"/>
            <family val="2"/>
          </rPr>
          <t xml:space="preserve">Fuente: instrucciones de la gerencia recibidas el 5 de septiembre de 2026. M1–M6: sin beneficios, excepto seguro médico.</t>
        </r>
      </text>
    </comment>
    <comment ref="H18" authorId="0">
      <text>
        <r>
          <rPr>
            <sz val="10"/>
            <rFont val="Arial"/>
            <family val="2"/>
          </rPr>
          <t xml:space="preserve">Fuente: instrucciones de la gerencia recibidas el 5 de septiembre de 2026. M1–M6: sin beneficios, excepto seguro médico.</t>
        </r>
      </text>
    </comment>
    <comment ref="H19" authorId="0">
      <text>
        <r>
          <rPr>
            <sz val="10"/>
            <rFont val="Arial"/>
            <family val="2"/>
          </rPr>
          <t xml:space="preserve">Fuente: instrucciones de la gerencia recibidas el 5 de septiembre de 2026. M1–M6: sin beneficios, excepto seguro médico.</t>
        </r>
      </text>
    </comment>
    <comment ref="H20" authorId="0">
      <text>
        <r>
          <rPr>
            <sz val="10"/>
            <rFont val="Arial"/>
            <family val="2"/>
          </rPr>
          <t xml:space="preserve">Fuente: instrucciones de la gerencia recibidas el 5 de septiembre de 2026. M1–M6: sin beneficios, excepto seguro médico.</t>
        </r>
      </text>
    </comment>
    <comment ref="M12" authorId="0">
      <text>
        <r>
          <rPr>
            <sz val="10"/>
            <rFont val="Arial"/>
            <family val="2"/>
          </rPr>
          <t xml:space="preserve">Fuente: instrucciones de la gerencia recibidas el 5 de septiembre de 2026. Condición desde M7: Expatriado.</t>
        </r>
      </text>
    </comment>
    <comment ref="M13" authorId="0">
      <text>
        <r>
          <rPr>
            <sz val="10"/>
            <rFont val="Arial"/>
            <family val="2"/>
          </rPr>
          <t xml:space="preserve">Fuente: instrucciones de la gerencia recibidas el 5 de septiembre de 2026. Condición desde M7: Repatriado.</t>
        </r>
      </text>
    </comment>
    <comment ref="M14" authorId="0">
      <text>
        <r>
          <rPr>
            <sz val="10"/>
            <rFont val="Arial"/>
            <family val="2"/>
          </rPr>
          <t xml:space="preserve">Fuente: instrucciones de la gerencia recibidas el 5 de septiembre de 2026. Condición desde M7: Repatriado.</t>
        </r>
      </text>
    </comment>
    <comment ref="M15" authorId="0">
      <text>
        <r>
          <rPr>
            <sz val="10"/>
            <rFont val="Arial"/>
            <family val="2"/>
          </rPr>
          <t xml:space="preserve">Fuente: instrucciones de la gerencia recibidas el 5 de septiembre de 2026. Condición desde M7: Repatriado.</t>
        </r>
      </text>
    </comment>
    <comment ref="M16" authorId="0">
      <text>
        <r>
          <rPr>
            <sz val="10"/>
            <rFont val="Arial"/>
            <family val="2"/>
          </rPr>
          <t xml:space="preserve">Fuente: instrucciones de la gerencia recibidas el 5 de septiembre de 2026. Condición desde M7: Expatriado.</t>
        </r>
      </text>
    </comment>
    <comment ref="M17" authorId="0">
      <text>
        <r>
          <rPr>
            <sz val="10"/>
            <rFont val="Arial"/>
            <family val="2"/>
          </rPr>
          <t xml:space="preserve">Fuente: instrucciones de la gerencia recibidas el 5 de septiembre de 2026. Condición desde M7: Remote.</t>
        </r>
      </text>
    </comment>
    <comment ref="M18" authorId="0">
      <text>
        <r>
          <rPr>
            <sz val="10"/>
            <rFont val="Arial"/>
            <family val="2"/>
          </rPr>
          <t xml:space="preserve">Fuente: instrucciones de la gerencia recibidas el 5 de septiembre de 2026. Condición desde M7: On rotation.</t>
        </r>
      </text>
    </comment>
    <comment ref="M19" authorId="0">
      <text>
        <r>
          <rPr>
            <sz val="10"/>
            <rFont val="Arial"/>
            <family val="2"/>
          </rPr>
          <t xml:space="preserve">Fuente: instrucción de gerencia recibida el 5 de septiembre de 2026. La persona se presupone local o alojada en staff house de PU; no recibe housing allowance en efectivo. Los costos operativos de la staff house, si existen, se presupuestarán separadamente.</t>
        </r>
      </text>
    </comment>
    <comment ref="M20" authorId="0">
      <text>
        <r>
          <rPr>
            <sz val="10"/>
            <rFont val="Arial"/>
            <family val="2"/>
          </rPr>
          <t xml:space="preserve">Fuente: instrucción de gerencia recibida el 5 de septiembre de 2026. La persona se presupone local o alojada en staff house de PU; no recibe housing allowance en efectivo. Los costos operativos de la staff house, si existen, se presupuestarán separadamente.</t>
        </r>
      </text>
    </comment>
    <comment ref="N12" authorId="0">
      <text>
        <r>
          <rPr>
            <sz val="10"/>
            <rFont val="Arial"/>
            <family val="2"/>
          </rPr>
          <t xml:space="preserve">Fuente: instrucciones de la gerencia recibidas el 5 de septiembre de 2026. Ciudad desde M7: Por definir.</t>
        </r>
      </text>
    </comment>
    <comment ref="N13" authorId="0">
      <text>
        <r>
          <rPr>
            <sz val="10"/>
            <rFont val="Arial"/>
            <family val="2"/>
          </rPr>
          <t xml:space="preserve">Fuente: instrucciones de la gerencia recibidas el 5 de septiembre de 2026. Ciudad desde M7: Maracaibo.</t>
        </r>
      </text>
    </comment>
    <comment ref="N14" authorId="0">
      <text>
        <r>
          <rPr>
            <sz val="10"/>
            <rFont val="Arial"/>
            <family val="2"/>
          </rPr>
          <t xml:space="preserve">Fuente: instrucciones de la gerencia recibidas el 5 de septiembre de 2026. Ciudad desde M7: Maracaibo.</t>
        </r>
      </text>
    </comment>
    <comment ref="N15" authorId="0">
      <text>
        <r>
          <rPr>
            <sz val="10"/>
            <rFont val="Arial"/>
            <family val="2"/>
          </rPr>
          <t xml:space="preserve">Fuente: instrucciones de la gerencia recibidas el 5 de septiembre de 2026. Ciudad desde M7: Maracaibo.</t>
        </r>
      </text>
    </comment>
    <comment ref="N16" authorId="0">
      <text>
        <r>
          <rPr>
            <sz val="10"/>
            <rFont val="Arial"/>
            <family val="2"/>
          </rPr>
          <t xml:space="preserve">Fuente: instrucciones de la gerencia recibidas el 5 de septiembre de 2026. Ciudad desde M7: Maracaibo.</t>
        </r>
      </text>
    </comment>
    <comment ref="N17" authorId="0">
      <text>
        <r>
          <rPr>
            <sz val="10"/>
            <rFont val="Arial"/>
            <family val="2"/>
          </rPr>
          <t xml:space="preserve">Fuente: instrucciones de la gerencia recibidas el 5 de septiembre de 2026. Ciudad desde M7: Remoto.</t>
        </r>
      </text>
    </comment>
    <comment ref="N18" authorId="0">
      <text>
        <r>
          <rPr>
            <sz val="10"/>
            <rFont val="Arial"/>
            <family val="2"/>
          </rPr>
          <t xml:space="preserve">Fuente: instrucciones de la gerencia recibidas el 5 de septiembre de 2026. Ciudad desde M7: Por definir.</t>
        </r>
      </text>
    </comment>
    <comment ref="N19" authorId="0">
      <text>
        <r>
          <rPr>
            <sz val="10"/>
            <rFont val="Arial"/>
            <family val="2"/>
          </rPr>
          <t xml:space="preserve">Fuente: instrucción de gerencia recibida el 5 de septiembre de 2026. La persona se presupone local o alojada en staff house de PU; no recibe housing allowance en efectivo. Los costos operativos de la staff house, si existen, se presupuestarán separadamente.</t>
        </r>
      </text>
    </comment>
    <comment ref="N20" authorId="0">
      <text>
        <r>
          <rPr>
            <sz val="10"/>
            <rFont val="Arial"/>
            <family val="2"/>
          </rPr>
          <t xml:space="preserve">Fuente: instrucción de gerencia recibida el 5 de septiembre de 2026. La persona se presupone local o alojada en staff house de PU; no recibe housing allowance en efectivo. Los costos operativos de la staff house, si existen, se presupuestarán separadamente.</t>
        </r>
      </text>
    </comment>
    <comment ref="O12" authorId="0">
      <text>
        <r>
          <rPr>
            <sz val="10"/>
            <rFont val="Arial"/>
            <family val="2"/>
          </rPr>
          <t xml:space="preserve">Fuente: instrucciones de la gerencia recibidas el 5 de septiembre de 2026. Housing anual desde M7. Expatriado; paquete internacional desde M7.</t>
        </r>
      </text>
    </comment>
    <comment ref="O13" authorId="0">
      <text>
        <r>
          <rPr>
            <sz val="10"/>
            <rFont val="Arial"/>
            <family val="2"/>
          </rPr>
          <t xml:space="preserve">Fuente: instrucciones de la gerencia recibidas el 5 de septiembre de 2026. Housing anual desde M7. Maracaibo: housing puede ser allowance, staff house u hotel. Impuesto personal a cargo del empleado.</t>
        </r>
      </text>
    </comment>
    <comment ref="O14" authorId="0">
      <text>
        <r>
          <rPr>
            <sz val="10"/>
            <rFont val="Arial"/>
            <family val="2"/>
          </rPr>
          <t xml:space="preserve">Fuente: instrucciones de la gerencia recibidas el 5 de septiembre de 2026. Housing anual desde M7. Vive en su propia casa en Maracaibo; no recibe housing. Impuesto personal a su cargo.</t>
        </r>
      </text>
    </comment>
    <comment ref="O15" authorId="0">
      <text>
        <r>
          <rPr>
            <sz val="10"/>
            <rFont val="Arial"/>
            <family val="2"/>
          </rPr>
          <t xml:space="preserve">Fuente: instrucciones de la gerencia recibidas el 5 de septiembre de 2026. Housing anual desde M7. Mismo paquete de Juan Conde. Impuesto personal a cargo del empleado.</t>
        </r>
      </text>
    </comment>
    <comment ref="O16" authorId="0">
      <text>
        <r>
          <rPr>
            <sz val="10"/>
            <rFont val="Arial"/>
            <family val="2"/>
          </rPr>
          <t xml:space="preserve">Fuente: instrucciones de la gerencia recibidas el 5 de septiembre de 2026. Housing anual desde M7. Housing expatriado de $1.000 por mes desde M7.</t>
        </r>
      </text>
    </comment>
    <comment ref="O17" authorId="0">
      <text>
        <r>
          <rPr>
            <sz val="10"/>
            <rFont val="Arial"/>
            <family val="2"/>
          </rPr>
          <t xml:space="preserve">Fuente: instrucciones de la gerencia recibidas el 5 de septiembre de 2026. Housing anual desde M7. Remote: salario base únicamente; sin beneficios.</t>
        </r>
      </text>
    </comment>
    <comment ref="O18" authorId="0">
      <text>
        <r>
          <rPr>
            <sz val="10"/>
            <rFont val="Arial"/>
            <family val="2"/>
          </rPr>
          <t xml:space="preserve">Fuente: instrucciones de la gerencia recibidas el 5 de septiembre de 2026. Housing anual desde M7. On rotation: paquete provisional desde M7.</t>
        </r>
      </text>
    </comment>
    <comment ref="O19" authorId="0">
      <text>
        <r>
          <rPr>
            <sz val="10"/>
            <rFont val="Arial"/>
            <family val="2"/>
          </rPr>
          <t xml:space="preserve">Fuente: instrucción de gerencia recibida el 5 de septiembre de 2026. La persona se presupone local o alojada en staff house de PU; no recibe housing allowance en efectivo. Los costos operativos de la staff house, si existen, se presupuestarán separadamente.</t>
        </r>
      </text>
    </comment>
    <comment ref="O20" authorId="0">
      <text>
        <r>
          <rPr>
            <sz val="10"/>
            <rFont val="Arial"/>
            <family val="2"/>
          </rPr>
          <t xml:space="preserve">Fuente: instrucción de gerencia recibida el 5 de septiembre de 2026. La persona se presupone local o alojada en staff house de PU; no recibe housing allowance en efectivo. Los costos operativos de la staff house, si existen, se presupuestarán separadamente.</t>
        </r>
      </text>
    </comment>
    <comment ref="P12" authorId="0">
      <text>
        <r>
          <rPr>
            <sz val="10"/>
            <rFont val="Arial"/>
            <family val="2"/>
          </rPr>
          <t xml:space="preserve">Fuente: instrucciones de la gerencia recibidas el 5 de septiembre de 2026. Seguro médico anual desde M7.</t>
        </r>
      </text>
    </comment>
    <comment ref="P13" authorId="0">
      <text>
        <r>
          <rPr>
            <sz val="10"/>
            <rFont val="Arial"/>
            <family val="2"/>
          </rPr>
          <t xml:space="preserve">Fuente: instrucciones de la gerencia recibidas el 5 de septiembre de 2026. Seguro médico anual desde M7.</t>
        </r>
      </text>
    </comment>
    <comment ref="P14" authorId="0">
      <text>
        <r>
          <rPr>
            <sz val="10"/>
            <rFont val="Arial"/>
            <family val="2"/>
          </rPr>
          <t xml:space="preserve">Fuente: instrucciones de la gerencia recibidas el 5 de septiembre de 2026. Seguro médico anual desde M7.</t>
        </r>
      </text>
    </comment>
    <comment ref="P15" authorId="0">
      <text>
        <r>
          <rPr>
            <sz val="10"/>
            <rFont val="Arial"/>
            <family val="2"/>
          </rPr>
          <t xml:space="preserve">Fuente: instrucciones de la gerencia recibidas el 5 de septiembre de 2026. Seguro médico anual desde M7.</t>
        </r>
      </text>
    </comment>
    <comment ref="P16" authorId="0">
      <text>
        <r>
          <rPr>
            <sz val="10"/>
            <rFont val="Arial"/>
            <family val="2"/>
          </rPr>
          <t xml:space="preserve">Fuente: instrucciones de la gerencia recibidas el 5 de septiembre de 2026. Seguro médico anual desde M7.</t>
        </r>
      </text>
    </comment>
    <comment ref="P17" authorId="0">
      <text>
        <r>
          <rPr>
            <sz val="10"/>
            <rFont val="Arial"/>
            <family val="2"/>
          </rPr>
          <t xml:space="preserve">Fuente: instrucciones de la gerencia recibidas el 5 de septiembre de 2026. Seguro médico anual desde M7.</t>
        </r>
      </text>
    </comment>
    <comment ref="P18" authorId="0">
      <text>
        <r>
          <rPr>
            <sz val="10"/>
            <rFont val="Arial"/>
            <family val="2"/>
          </rPr>
          <t xml:space="preserve">Fuente: instrucciones de la gerencia recibidas el 5 de septiembre de 2026. Seguro médico anual desde M7.</t>
        </r>
      </text>
    </comment>
    <comment ref="P19" authorId="0">
      <text>
        <r>
          <rPr>
            <sz val="10"/>
            <rFont val="Arial"/>
            <family val="2"/>
          </rPr>
          <t xml:space="preserve">Fuente: instrucciones de la gerencia recibidas el 5 de septiembre de 2026. Seguro médico anual desde M7.</t>
        </r>
      </text>
    </comment>
    <comment ref="P20" authorId="0">
      <text>
        <r>
          <rPr>
            <sz val="10"/>
            <rFont val="Arial"/>
            <family val="2"/>
          </rPr>
          <t xml:space="preserve">Fuente: instrucciones de la gerencia recibidas el 5 de septiembre de 2026. Seguro médico anual desde M7.</t>
        </r>
      </text>
    </comment>
    <comment ref="Q12" authorId="0">
      <text>
        <r>
          <rPr>
            <sz val="10"/>
            <rFont val="Arial"/>
            <family val="2"/>
          </rPr>
          <t xml:space="preserve">Fuente: instrucciones de la gerencia recibidas el 5 de septiembre de 2026. Home leave anual desde M7; cero para repatriados y locales.</t>
        </r>
      </text>
    </comment>
    <comment ref="Q13" authorId="0">
      <text>
        <r>
          <rPr>
            <sz val="10"/>
            <rFont val="Arial"/>
            <family val="2"/>
          </rPr>
          <t xml:space="preserve">Fuente: instrucciones de la gerencia recibidas el 5 de septiembre de 2026. Home leave anual desde M7; cero para repatriados y locales.</t>
        </r>
      </text>
    </comment>
    <comment ref="Q14" authorId="0">
      <text>
        <r>
          <rPr>
            <sz val="10"/>
            <rFont val="Arial"/>
            <family val="2"/>
          </rPr>
          <t xml:space="preserve">Fuente: instrucciones de la gerencia recibidas el 5 de septiembre de 2026. Home leave anual desde M7; cero para repatriados y locales.</t>
        </r>
      </text>
    </comment>
    <comment ref="Q15" authorId="0">
      <text>
        <r>
          <rPr>
            <sz val="10"/>
            <rFont val="Arial"/>
            <family val="2"/>
          </rPr>
          <t xml:space="preserve">Fuente: instrucciones de la gerencia recibidas el 5 de septiembre de 2026. Home leave anual desde M7; cero para repatriados y locales.</t>
        </r>
      </text>
    </comment>
    <comment ref="Q16" authorId="0">
      <text>
        <r>
          <rPr>
            <sz val="10"/>
            <rFont val="Arial"/>
            <family val="2"/>
          </rPr>
          <t xml:space="preserve">Fuente: instrucciones de la gerencia recibidas el 5 de septiembre de 2026. Home leave anual desde M7; cero para repatriados y locales.</t>
        </r>
      </text>
    </comment>
    <comment ref="Q17" authorId="0">
      <text>
        <r>
          <rPr>
            <sz val="10"/>
            <rFont val="Arial"/>
            <family val="2"/>
          </rPr>
          <t xml:space="preserve">Fuente: instrucciones de la gerencia recibidas el 5 de septiembre de 2026. Home leave anual desde M7; cero para repatriados y locales.</t>
        </r>
      </text>
    </comment>
    <comment ref="Q18" authorId="0">
      <text>
        <r>
          <rPr>
            <sz val="10"/>
            <rFont val="Arial"/>
            <family val="2"/>
          </rPr>
          <t xml:space="preserve">Fuente: instrucciones de la gerencia recibidas el 5 de septiembre de 2026. Home leave anual desde M7; cero para repatriados y locales.</t>
        </r>
      </text>
    </comment>
    <comment ref="Q19" authorId="0">
      <text>
        <r>
          <rPr>
            <sz val="10"/>
            <rFont val="Arial"/>
            <family val="2"/>
          </rPr>
          <t xml:space="preserve">Fuente: instrucciones de la gerencia recibidas el 5 de septiembre de 2026. Home leave anual desde M7; cero para repatriados y locales.</t>
        </r>
      </text>
    </comment>
    <comment ref="Q20" authorId="0">
      <text>
        <r>
          <rPr>
            <sz val="10"/>
            <rFont val="Arial"/>
            <family val="2"/>
          </rPr>
          <t xml:space="preserve">Fuente: instrucciones de la gerencia recibidas el 5 de septiembre de 2026. Home leave anual desde M7; cero para repatriados y locales.</t>
        </r>
      </text>
    </comment>
    <comment ref="R12" authorId="0">
      <text>
        <r>
          <rPr>
            <sz val="10"/>
            <rFont val="Arial"/>
            <family val="2"/>
          </rPr>
          <t xml:space="preserve">Fuente: instrucciones de la gerencia recibidas el 5 de septiembre de 2026. Transporte provisto por la compañía para el trabajo / beneficio equivalente.</t>
        </r>
      </text>
    </comment>
    <comment ref="R13" authorId="0">
      <text>
        <r>
          <rPr>
            <sz val="10"/>
            <rFont val="Arial"/>
            <family val="2"/>
          </rPr>
          <t xml:space="preserve">Fuente: instrucciones de la gerencia recibidas el 5 de septiembre de 2026. Transporte provisto por la compañía para el trabajo / beneficio equivalente.</t>
        </r>
      </text>
    </comment>
    <comment ref="R14" authorId="0">
      <text>
        <r>
          <rPr>
            <sz val="10"/>
            <rFont val="Arial"/>
            <family val="2"/>
          </rPr>
          <t xml:space="preserve">Fuente: instrucciones de la gerencia recibidas el 5 de septiembre de 2026. Transporte provisto por la compañía para el trabajo / beneficio equivalente.</t>
        </r>
      </text>
    </comment>
    <comment ref="R15" authorId="0">
      <text>
        <r>
          <rPr>
            <sz val="10"/>
            <rFont val="Arial"/>
            <family val="2"/>
          </rPr>
          <t xml:space="preserve">Fuente: instrucciones de la gerencia recibidas el 5 de septiembre de 2026. Transporte provisto por la compañía para el trabajo / beneficio equivalente.</t>
        </r>
      </text>
    </comment>
    <comment ref="R16" authorId="0">
      <text>
        <r>
          <rPr>
            <sz val="10"/>
            <rFont val="Arial"/>
            <family val="2"/>
          </rPr>
          <t xml:space="preserve">Fuente: instrucciones de la gerencia recibidas el 5 de septiembre de 2026. Transporte provisto por la compañía para el trabajo / beneficio equivalente.</t>
        </r>
      </text>
    </comment>
    <comment ref="R17" authorId="0">
      <text>
        <r>
          <rPr>
            <sz val="10"/>
            <rFont val="Arial"/>
            <family val="2"/>
          </rPr>
          <t xml:space="preserve">Fuente: instrucciones de la gerencia recibidas el 5 de septiembre de 2026. Transporte provisto por la compañía para el trabajo / beneficio equivalente.</t>
        </r>
      </text>
    </comment>
    <comment ref="R18" authorId="0">
      <text>
        <r>
          <rPr>
            <sz val="10"/>
            <rFont val="Arial"/>
            <family val="2"/>
          </rPr>
          <t xml:space="preserve">Fuente: instrucciones de la gerencia recibidas el 5 de septiembre de 2026. Transporte provisto por la compañía para el trabajo / beneficio equivalente.</t>
        </r>
      </text>
    </comment>
    <comment ref="R19" authorId="0">
      <text>
        <r>
          <rPr>
            <sz val="10"/>
            <rFont val="Arial"/>
            <family val="2"/>
          </rPr>
          <t xml:space="preserve">Fuente: instrucciones de la gerencia recibidas el 5 de septiembre de 2026. Transporte provisto por la compañía para el trabajo / beneficio equivalente.</t>
        </r>
      </text>
    </comment>
    <comment ref="R20" authorId="0">
      <text>
        <r>
          <rPr>
            <sz val="10"/>
            <rFont val="Arial"/>
            <family val="2"/>
          </rPr>
          <t xml:space="preserve">Fuente: instrucciones de la gerencia recibidas el 5 de septiembre de 2026. Transporte provisto por la compañía para el trabajo / beneficio equivalente.</t>
        </r>
      </text>
    </comment>
    <comment ref="S12" authorId="0">
      <text>
        <r>
          <rPr>
            <sz val="10"/>
            <rFont val="Arial"/>
            <family val="2"/>
          </rPr>
          <t xml:space="preserve">Fuente: instrucciones de la gerencia recibidas el 5 de septiembre de 2026. Costo fiscal asumido por la empresa; cero cuando el empleado asume su impuesto personal.</t>
        </r>
      </text>
    </comment>
    <comment ref="S13" authorId="0">
      <text>
        <r>
          <rPr>
            <sz val="10"/>
            <rFont val="Arial"/>
            <family val="2"/>
          </rPr>
          <t xml:space="preserve">Fuente: instrucciones de la gerencia recibidas el 5 de septiembre de 2026. Costo fiscal asumido por la empresa; cero cuando el empleado asume su impuesto personal.</t>
        </r>
      </text>
    </comment>
    <comment ref="S14" authorId="0">
      <text>
        <r>
          <rPr>
            <sz val="10"/>
            <rFont val="Arial"/>
            <family val="2"/>
          </rPr>
          <t xml:space="preserve">Fuente: instrucciones de la gerencia recibidas el 5 de septiembre de 2026. Costo fiscal asumido por la empresa; cero cuando el empleado asume su impuesto personal.</t>
        </r>
      </text>
    </comment>
    <comment ref="S15" authorId="0">
      <text>
        <r>
          <rPr>
            <sz val="10"/>
            <rFont val="Arial"/>
            <family val="2"/>
          </rPr>
          <t xml:space="preserve">Fuente: instrucciones de la gerencia recibidas el 5 de septiembre de 2026. Costo fiscal asumido por la empresa; cero cuando el empleado asume su impuesto personal.</t>
        </r>
      </text>
    </comment>
    <comment ref="S16" authorId="0">
      <text>
        <r>
          <rPr>
            <sz val="10"/>
            <rFont val="Arial"/>
            <family val="2"/>
          </rPr>
          <t xml:space="preserve">Fuente: instrucciones de la gerencia recibidas el 5 de septiembre de 2026. Costo fiscal asumido por la empresa; cero cuando el empleado asume su impuesto personal.</t>
        </r>
      </text>
    </comment>
    <comment ref="S17" authorId="0">
      <text>
        <r>
          <rPr>
            <sz val="10"/>
            <rFont val="Arial"/>
            <family val="2"/>
          </rPr>
          <t xml:space="preserve">Fuente: instrucciones de la gerencia recibidas el 5 de septiembre de 2026. Costo fiscal asumido por la empresa; cero cuando el empleado asume su impuesto personal.</t>
        </r>
      </text>
    </comment>
    <comment ref="S18" authorId="0">
      <text>
        <r>
          <rPr>
            <sz val="10"/>
            <rFont val="Arial"/>
            <family val="2"/>
          </rPr>
          <t xml:space="preserve">Fuente: instrucciones de la gerencia recibidas el 5 de septiembre de 2026. Costo fiscal asumido por la empresa; cero cuando el empleado asume su impuesto personal.</t>
        </r>
      </text>
    </comment>
    <comment ref="S19" authorId="0">
      <text>
        <r>
          <rPr>
            <sz val="10"/>
            <rFont val="Arial"/>
            <family val="2"/>
          </rPr>
          <t xml:space="preserve">Fuente: instrucciones de la gerencia recibidas el 5 de septiembre de 2026. Costo fiscal asumido por la empresa; cero cuando el empleado asume su impuesto personal.</t>
        </r>
      </text>
    </comment>
    <comment ref="S20" authorId="0">
      <text>
        <r>
          <rPr>
            <sz val="10"/>
            <rFont val="Arial"/>
            <family val="2"/>
          </rPr>
          <t xml:space="preserve">Fuente: instrucciones de la gerencia recibidas el 5 de septiembre de 2026. Costo fiscal asumido por la empresa; cero cuando el empleado asume su impuesto personal.</t>
        </r>
      </text>
    </comment>
    <comment ref="T12" authorId="0">
      <text>
        <r>
          <rPr>
            <sz val="10"/>
            <rFont val="Arial"/>
            <family val="2"/>
          </rPr>
          <t xml:space="preserve">Fuente: instrucciones de la gerencia recibidas el 5 de septiembre de 2026. Bonus anual objetivo desde M7; cuatro meses de salario para Juan, Alexander y Félix.</t>
        </r>
      </text>
    </comment>
    <comment ref="T13" authorId="0">
      <text>
        <r>
          <rPr>
            <sz val="10"/>
            <rFont val="Arial"/>
            <family val="2"/>
          </rPr>
          <t xml:space="preserve">Fuente: instrucciones de la gerencia recibidas el 5 de septiembre de 2026. Bonus anual objetivo desde M7; cuatro meses de salario para Juan, Alexander y Félix.</t>
        </r>
      </text>
    </comment>
    <comment ref="T14" authorId="0">
      <text>
        <r>
          <rPr>
            <sz val="10"/>
            <rFont val="Arial"/>
            <family val="2"/>
          </rPr>
          <t xml:space="preserve">Fuente: instrucciones de la gerencia recibidas el 5 de septiembre de 2026. Bonus anual objetivo desde M7; cuatro meses de salario para Juan, Alexander y Félix.</t>
        </r>
      </text>
    </comment>
    <comment ref="T15" authorId="0">
      <text>
        <r>
          <rPr>
            <sz val="10"/>
            <rFont val="Arial"/>
            <family val="2"/>
          </rPr>
          <t xml:space="preserve">Fuente: instrucciones de la gerencia recibidas el 5 de septiembre de 2026. Bonus anual objetivo desde M7; cuatro meses de salario para Juan, Alexander y Félix.</t>
        </r>
      </text>
    </comment>
    <comment ref="T16" authorId="0">
      <text>
        <r>
          <rPr>
            <sz val="10"/>
            <rFont val="Arial"/>
            <family val="2"/>
          </rPr>
          <t xml:space="preserve">Fuente: instrucciones de la gerencia recibidas el 5 de septiembre de 2026. Bonus anual objetivo desde M7; cuatro meses de salario para Juan, Alexander y Félix.</t>
        </r>
      </text>
    </comment>
    <comment ref="T17" authorId="0">
      <text>
        <r>
          <rPr>
            <sz val="10"/>
            <rFont val="Arial"/>
            <family val="2"/>
          </rPr>
          <t xml:space="preserve">Fuente: instrucciones de la gerencia recibidas el 5 de septiembre de 2026. Bonus anual objetivo desde M7; cuatro meses de salario para Juan, Alexander y Félix.</t>
        </r>
      </text>
    </comment>
    <comment ref="T18" authorId="0">
      <text>
        <r>
          <rPr>
            <sz val="10"/>
            <rFont val="Arial"/>
            <family val="2"/>
          </rPr>
          <t xml:space="preserve">Fuente: instrucciones de la gerencia recibidas el 5 de septiembre de 2026. Bonus anual objetivo desde M7; cuatro meses de salario para Juan, Alexander y Félix.</t>
        </r>
      </text>
    </comment>
    <comment ref="T19" authorId="0">
      <text>
        <r>
          <rPr>
            <sz val="10"/>
            <rFont val="Arial"/>
            <family val="2"/>
          </rPr>
          <t xml:space="preserve">Fuente: instrucciones de la gerencia recibidas el 5 de septiembre de 2026. Bonus anual objetivo desde M7; cuatro meses de salario para Juan, Alexander y Félix.</t>
        </r>
      </text>
    </comment>
    <comment ref="T20" authorId="0">
      <text>
        <r>
          <rPr>
            <sz val="10"/>
            <rFont val="Arial"/>
            <family val="2"/>
          </rPr>
          <t xml:space="preserve">Fuente: instrucciones de la gerencia recibidas el 5 de septiembre de 2026. Bonus anual objetivo desde M7; cuatro meses de salario para Juan, Alexander y Félix.</t>
        </r>
      </text>
    </comment>
    <comment ref="U12" authorId="0">
      <text>
        <r>
          <rPr>
            <sz val="10"/>
            <rFont val="Arial"/>
            <family val="2"/>
          </rPr>
          <t xml:space="preserve">Fuente: instrucciones de la gerencia recibidas el 5 de septiembre de 2026. Stock options: valor pendiente de aprobación y valoración; no se incluye en el costo.</t>
        </r>
      </text>
    </comment>
    <comment ref="U13" authorId="0">
      <text>
        <r>
          <rPr>
            <sz val="10"/>
            <rFont val="Arial"/>
            <family val="2"/>
          </rPr>
          <t xml:space="preserve">Fuente: instrucciones de la gerencia recibidas el 5 de septiembre de 2026. Stock options: valor pendiente de aprobación y valoración; no se incluye en el costo.</t>
        </r>
      </text>
    </comment>
    <comment ref="U14" authorId="0">
      <text>
        <r>
          <rPr>
            <sz val="10"/>
            <rFont val="Arial"/>
            <family val="2"/>
          </rPr>
          <t xml:space="preserve">Fuente: instrucciones de la gerencia recibidas el 5 de septiembre de 2026. Stock options: valor pendiente de aprobación y valoración; no se incluye en el costo.</t>
        </r>
      </text>
    </comment>
    <comment ref="U15" authorId="0">
      <text>
        <r>
          <rPr>
            <sz val="10"/>
            <rFont val="Arial"/>
            <family val="2"/>
          </rPr>
          <t xml:space="preserve">Fuente: instrucciones de la gerencia recibidas el 5 de septiembre de 2026. Stock options: valor pendiente de aprobación y valoración; no se incluye en el costo.</t>
        </r>
      </text>
    </comment>
    <comment ref="U16" authorId="0">
      <text>
        <r>
          <rPr>
            <sz val="10"/>
            <rFont val="Arial"/>
            <family val="2"/>
          </rPr>
          <t xml:space="preserve">Fuente: instrucciones de la gerencia recibidas el 5 de septiembre de 2026. Stock options: valor pendiente de aprobación y valoración; no se incluye en el costo.</t>
        </r>
      </text>
    </comment>
    <comment ref="U17" authorId="0">
      <text>
        <r>
          <rPr>
            <sz val="10"/>
            <rFont val="Arial"/>
            <family val="2"/>
          </rPr>
          <t xml:space="preserve">Fuente: instrucciones de la gerencia recibidas el 5 de septiembre de 2026. Stock options: valor pendiente de aprobación y valoración; no se incluye en el costo.</t>
        </r>
      </text>
    </comment>
    <comment ref="U18" authorId="0">
      <text>
        <r>
          <rPr>
            <sz val="10"/>
            <rFont val="Arial"/>
            <family val="2"/>
          </rPr>
          <t xml:space="preserve">Fuente: instrucciones de la gerencia recibidas el 5 de septiembre de 2026. Stock options: valor pendiente de aprobación y valoración; no se incluye en el costo.</t>
        </r>
      </text>
    </comment>
    <comment ref="U19" authorId="0">
      <text>
        <r>
          <rPr>
            <sz val="10"/>
            <rFont val="Arial"/>
            <family val="2"/>
          </rPr>
          <t xml:space="preserve">Fuente: instrucciones de la gerencia recibidas el 5 de septiembre de 2026. Stock options: valor pendiente de aprobación y valoración; no se incluye en el costo.</t>
        </r>
      </text>
    </comment>
    <comment ref="U20" authorId="0">
      <text>
        <r>
          <rPr>
            <sz val="10"/>
            <rFont val="Arial"/>
            <family val="2"/>
          </rPr>
          <t xml:space="preserve">Fuente: instrucciones de la gerencia recibidas el 5 de septiembre de 2026. Stock options: valor pendiente de aprobación y valoración; no se incluye en el costo.</t>
        </r>
      </text>
    </comment>
    <comment ref="V12" authorId="0">
      <text>
        <r>
          <rPr>
            <sz val="10"/>
            <rFont val="Arial"/>
            <family val="2"/>
          </rPr>
          <t xml:space="preserve">Fuente: edición directa del usuario del 5 de septiembre de 2026. Se preservan 30 días de vacaciones.</t>
        </r>
      </text>
    </comment>
    <comment ref="V13" authorId="0">
      <text>
        <r>
          <rPr>
            <sz val="10"/>
            <rFont val="Arial"/>
            <family val="2"/>
          </rPr>
          <t xml:space="preserve">Fuente: edición directa del usuario del 5 de septiembre de 2026. Se preservan 30 días de vacaciones.</t>
        </r>
      </text>
    </comment>
    <comment ref="V14" authorId="0">
      <text>
        <r>
          <rPr>
            <sz val="10"/>
            <rFont val="Arial"/>
            <family val="2"/>
          </rPr>
          <t xml:space="preserve">Fuente: edición directa del usuario del 5 de septiembre de 2026. Se preservan 30 días de vacaciones.</t>
        </r>
      </text>
    </comment>
    <comment ref="V15" authorId="0">
      <text>
        <r>
          <rPr>
            <sz val="10"/>
            <rFont val="Arial"/>
            <family val="2"/>
          </rPr>
          <t xml:space="preserve">Fuente: edición directa del usuario del 5 de septiembre de 2026. Se preservan 30 días de vacaciones.</t>
        </r>
      </text>
    </comment>
    <comment ref="V16" authorId="0">
      <text>
        <r>
          <rPr>
            <sz val="10"/>
            <rFont val="Arial"/>
            <family val="2"/>
          </rPr>
          <t xml:space="preserve">Fuente: edición directa del usuario del 5 de septiembre de 2026. Se preservan 30 días de vacaciones.</t>
        </r>
      </text>
    </comment>
    <comment ref="V17" authorId="0">
      <text>
        <r>
          <rPr>
            <sz val="10"/>
            <rFont val="Arial"/>
            <family val="2"/>
          </rPr>
          <t xml:space="preserve">Fuente: edición directa del usuario del 5 de septiembre de 2026. Se preservan 30 días de vacaciones.</t>
        </r>
      </text>
    </comment>
    <comment ref="V18" authorId="0">
      <text>
        <r>
          <rPr>
            <sz val="10"/>
            <rFont val="Arial"/>
            <family val="2"/>
          </rPr>
          <t xml:space="preserve">Fuente: edición directa del usuario del 5 de septiembre de 2026. Se preservan 30 días de vacaciones.</t>
        </r>
      </text>
    </comment>
    <comment ref="V19" authorId="0">
      <text>
        <r>
          <rPr>
            <sz val="10"/>
            <rFont val="Arial"/>
            <family val="2"/>
          </rPr>
          <t xml:space="preserve">Fuente: edición directa del usuario del 5 de septiembre de 2026. Se preservan 30 días de vacaciones.</t>
        </r>
      </text>
    </comment>
    <comment ref="V20" authorId="0">
      <text>
        <r>
          <rPr>
            <sz val="10"/>
            <rFont val="Arial"/>
            <family val="2"/>
          </rPr>
          <t xml:space="preserve">Fuente: edición directa del usuario del 5 de septiembre de 2026. Se preservan 30 días de vacaciones.</t>
        </r>
      </text>
    </comment>
    <comment ref="Z12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1, campo TOTAL Annual Package. Archivo: package_source_2026-09-05.jpeg.</t>
        </r>
      </text>
    </comment>
    <comment ref="Z13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2, campo TOTAL Annual Package. Archivo: package_source_2026-09-05.jpeg.</t>
        </r>
      </text>
    </comment>
    <comment ref="Z14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3, campo TOTAL Annual Package. Archivo: package_source_2026-09-05.jpeg.</t>
        </r>
      </text>
    </comment>
    <comment ref="Z15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4, campo TOTAL Annual Package. Archivo: package_source_2026-09-05.jpeg.</t>
        </r>
      </text>
    </comment>
    <comment ref="Z16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5, campo TOTAL Annual Package. Archivo: package_source_2026-09-05.jpeg.</t>
        </r>
      </text>
    </comment>
    <comment ref="Z17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6, campo TOTAL Annual Package. Archivo: package_source_2026-09-05.jpeg.</t>
        </r>
      </text>
    </comment>
    <comment ref="Z18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7, campo TOTAL Annual Package. Archivo: package_source_2026-09-05.jpeg.</t>
        </r>
      </text>
    </comment>
    <comment ref="Z19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8, campo TOTAL Annual Package. Archivo: package_source_2026-09-05.jpeg.</t>
        </r>
      </text>
    </comment>
    <comment ref="Z20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9, campo TOTAL Annual Package. Archivo: package_source_2026-09-05.jpeg.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2" authorId="0">
      <text>
        <r>
          <rPr>
            <sz val="10"/>
            <rFont val="Arial"/>
            <family val="2"/>
          </rPr>
          <t xml:space="preserve">Fuente: instrucciones de la gerencia recibidas el 5 de septiembre de 2026. Alexander Stulme fue indicado como secondment inicial de PU.</t>
        </r>
      </text>
    </comment>
    <comment ref="C13" authorId="0">
      <text>
        <r>
          <rPr>
            <sz val="10"/>
            <rFont val="Arial"/>
            <family val="2"/>
          </rPr>
          <t xml:space="preserve">Fuente: instrucciones de la gerencia recibidas el 5 de septiembre de 2026. Alan McKeon fue indicado como secondment inicial de PU.</t>
        </r>
      </text>
    </comment>
    <comment ref="C14" authorId="0">
      <text>
        <r>
          <rPr>
            <sz val="10"/>
            <rFont val="Arial"/>
            <family val="2"/>
          </rPr>
          <t xml:space="preserve">Fuente: instrucciones de la gerencia recibidas el 5 de septiembre de 2026. Martin Aguero fue indicado como secondment inicial de PU.</t>
        </r>
      </text>
    </comment>
    <comment ref="D12" authorId="0">
      <text>
        <r>
          <rPr>
            <sz val="10"/>
            <rFont val="Arial"/>
            <family val="2"/>
          </rPr>
          <t xml:space="preserve">Fuente: instrucciones de la gerencia recibidas el 5 de septiembre de 2026. Nombramiento inicial: General Manager — PU.</t>
        </r>
      </text>
    </comment>
    <comment ref="D13" authorId="0">
      <text>
        <r>
          <rPr>
            <sz val="10"/>
            <rFont val="Arial"/>
            <family val="2"/>
          </rPr>
          <t xml:space="preserve">Fuente: instrucciones de la gerencia recibidas el 5 de septiembre de 2026. Nombramiento inicial: Technical Manager — PU.</t>
        </r>
      </text>
    </comment>
    <comment ref="D14" authorId="0">
      <text>
        <r>
          <rPr>
            <sz val="10"/>
            <rFont val="Arial"/>
            <family val="2"/>
          </rPr>
          <t xml:space="preserve">Fuente: instrucciones de la gerencia recibidas el 5 de septiembre de 2026. Nombramiento inicial: Infrastructure Manager — PU.</t>
        </r>
      </text>
    </comment>
    <comment ref="E12" authorId="0">
      <text>
        <r>
          <rPr>
            <sz val="10"/>
            <rFont val="Arial"/>
            <family val="2"/>
          </rPr>
          <t xml:space="preserve">Fuente: instrucciones de la gerencia recibidas el 5 de septiembre de 2026. La asignación inicial es un secondment.</t>
        </r>
      </text>
    </comment>
    <comment ref="E13" authorId="0">
      <text>
        <r>
          <rPr>
            <sz val="10"/>
            <rFont val="Arial"/>
            <family val="2"/>
          </rPr>
          <t xml:space="preserve">Fuente: instrucciones de la gerencia recibidas el 5 de septiembre de 2026. La asignación inicial es un secondment.</t>
        </r>
      </text>
    </comment>
    <comment ref="E14" authorId="0">
      <text>
        <r>
          <rPr>
            <sz val="10"/>
            <rFont val="Arial"/>
            <family val="2"/>
          </rPr>
          <t xml:space="preserve">Fuente: instrucciones de la gerencia recibidas el 5 de septiembre de 2026. La asignación inicial es un secondment.</t>
        </r>
      </text>
    </comment>
    <comment ref="F12" authorId="0">
      <text>
        <r>
          <rPr>
            <sz val="10"/>
            <rFont val="Arial"/>
            <family val="2"/>
          </rPr>
          <t xml:space="preserve">Fuente: instrucciones de la gerencia recibidas el 5 de septiembre de 2026. PU paga el salario de la persona durante el secondment.</t>
        </r>
      </text>
    </comment>
    <comment ref="F13" authorId="0">
      <text>
        <r>
          <rPr>
            <sz val="10"/>
            <rFont val="Arial"/>
            <family val="2"/>
          </rPr>
          <t xml:space="preserve">Fuente: instrucciones de la gerencia recibidas el 5 de septiembre de 2026. PU paga el salario de la persona durante el secondment.</t>
        </r>
      </text>
    </comment>
    <comment ref="F14" authorId="0">
      <text>
        <r>
          <rPr>
            <sz val="10"/>
            <rFont val="Arial"/>
            <family val="2"/>
          </rPr>
          <t xml:space="preserve">Fuente: instrucciones de la gerencia recibidas el 5 de septiembre de 2026. PU paga el salario de la persona durante el secondment.</t>
        </r>
      </text>
    </comment>
    <comment ref="G14" authorId="0">
      <text>
        <r>
          <rPr>
            <sz val="10"/>
            <rFont val="Arial"/>
            <family val="2"/>
          </rPr>
          <t xml:space="preserve">Fuente: edición del usuario del 5 de septiembre de 2026 en el informe institucional: salario anual de Martin Aguero $180.000. Se refleja como costo adicional de secondment separado del paquete de nueve posiciones.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12" authorId="0">
      <text>
        <r>
          <rPr>
            <sz val="10"/>
            <rFont val="Arial"/>
            <family val="2"/>
          </rPr>
          <t xml:space="preserve">Fuente: edición directa del usuario del 5 de septiembre de 2026. Se preservan 30 días en la hoja Beneficios M7+.</t>
        </r>
      </text>
    </comment>
    <comment ref="M13" authorId="0">
      <text>
        <r>
          <rPr>
            <sz val="10"/>
            <rFont val="Arial"/>
            <family val="2"/>
          </rPr>
          <t xml:space="preserve">Fuente: edición directa del usuario del 5 de septiembre de 2026. Se preservan 30 días en la hoja Beneficios M7+.</t>
        </r>
      </text>
    </comment>
    <comment ref="M14" authorId="0">
      <text>
        <r>
          <rPr>
            <sz val="10"/>
            <rFont val="Arial"/>
            <family val="2"/>
          </rPr>
          <t xml:space="preserve">Fuente: edición directa del usuario del 5 de septiembre de 2026. Se preservan 30 días en la hoja Beneficios M7+.</t>
        </r>
      </text>
    </comment>
    <comment ref="M15" authorId="0">
      <text>
        <r>
          <rPr>
            <sz val="10"/>
            <rFont val="Arial"/>
            <family val="2"/>
          </rPr>
          <t xml:space="preserve">Fuente: edición directa del usuario del 5 de septiembre de 2026. Se preservan 30 días en la hoja Beneficios M7+.</t>
        </r>
      </text>
    </comment>
    <comment ref="M16" authorId="0">
      <text>
        <r>
          <rPr>
            <sz val="10"/>
            <rFont val="Arial"/>
            <family val="2"/>
          </rPr>
          <t xml:space="preserve">Fuente: edición directa del usuario del 5 de septiembre de 2026. Se preservan 30 días en la hoja Beneficios M7+.</t>
        </r>
      </text>
    </comment>
    <comment ref="M17" authorId="0">
      <text>
        <r>
          <rPr>
            <sz val="10"/>
            <rFont val="Arial"/>
            <family val="2"/>
          </rPr>
          <t xml:space="preserve">Fuente: edición directa del usuario del 5 de septiembre de 2026. Se preservan 30 días en la hoja Beneficios M7+.</t>
        </r>
      </text>
    </comment>
    <comment ref="M18" authorId="0">
      <text>
        <r>
          <rPr>
            <sz val="10"/>
            <rFont val="Arial"/>
            <family val="2"/>
          </rPr>
          <t xml:space="preserve">Fuente: edición directa del usuario del 5 de septiembre de 2026. Se preservan 30 días en la hoja Beneficios M7+.</t>
        </r>
      </text>
    </comment>
    <comment ref="M19" authorId="0">
      <text>
        <r>
          <rPr>
            <sz val="10"/>
            <rFont val="Arial"/>
            <family val="2"/>
          </rPr>
          <t xml:space="preserve">Fuente: edición directa del usuario del 5 de septiembre de 2026. Se preservan 30 días en la hoja Beneficios M7+.</t>
        </r>
      </text>
    </comment>
    <comment ref="M20" authorId="0">
      <text>
        <r>
          <rPr>
            <sz val="10"/>
            <rFont val="Arial"/>
            <family val="2"/>
          </rPr>
          <t xml:space="preserve">Fuente: edición directa del usuario del 5 de septiembre de 2026. Se preservan 30 días en la hoja Beneficios M7+.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2" authorId="0">
      <text>
        <r>
          <rPr>
            <sz val="10"/>
            <rFont val="Arial"/>
            <family val="2"/>
          </rPr>
          <t xml:space="preserve">Fuente: instrucciones de la gerencia recibidas el 5 de septiembre de 2026. M1–M6</t>
        </r>
      </text>
    </comment>
    <comment ref="D13" authorId="0">
      <text>
        <r>
          <rPr>
            <sz val="10"/>
            <rFont val="Arial"/>
            <family val="2"/>
          </rPr>
          <t xml:space="preserve">Fuente: instrucciones de la gerencia recibidas el 5 de septiembre de 2026. M7–M12</t>
        </r>
      </text>
    </comment>
    <comment ref="D14" authorId="0">
      <text>
        <r>
          <rPr>
            <sz val="10"/>
            <rFont val="Arial"/>
            <family val="2"/>
          </rPr>
          <t xml:space="preserve">Fuente: instrucciones de la gerencia recibidas el 5 de septiembre de 2026. JJI no recibe beneficios por ser Remote</t>
        </r>
      </text>
    </comment>
    <comment ref="D15" authorId="0">
      <text>
        <r>
          <rPr>
            <sz val="10"/>
            <rFont val="Arial"/>
            <family val="2"/>
          </rPr>
          <t xml:space="preserve">Fuente: instrucciones de la gerencia recibidas el 5 de septiembre de 2026. Misma base anual de la tabla fuente</t>
        </r>
      </text>
    </comment>
    <comment ref="D16" authorId="0">
      <text>
        <r>
          <rPr>
            <sz val="10"/>
            <rFont val="Arial"/>
            <family val="2"/>
          </rPr>
          <t xml:space="preserve">Fuente: instrucciones de la gerencia recibidas el 5 de septiembre de 2026. Excluidas de costo</t>
        </r>
      </text>
    </comment>
    <comment ref="D17" authorId="0">
      <text>
        <r>
          <rPr>
            <sz val="10"/>
            <rFont val="Arial"/>
            <family val="2"/>
          </rPr>
          <t xml:space="preserve">Fuente: instrucciones de la gerencia recibidas el 5 de septiembre de 2026. Juan, Alexander y Félix; sin costo incremental</t>
        </r>
      </text>
    </comment>
  </commentList>
</comments>
</file>

<file path=xl/sharedStrings.xml><?xml version="1.0" encoding="utf-8"?>
<sst xmlns="http://schemas.openxmlformats.org/spreadsheetml/2006/main" count="289" uniqueCount="210">
  <si>
    <t xml:space="preserve">Resumen ejecutivo — dos bloques de costo</t>
  </si>
  <si>
    <t xml:space="preserve">M1–M6: rotación con salario base + seguro médico únicamente | M7–M12: salario base + beneficios individuales</t>
  </si>
  <si>
    <t xml:space="preserve">USD | Stock options excluidas hasta valoración</t>
  </si>
  <si>
    <t xml:space="preserve">INDICADORES PRINCIPALES</t>
  </si>
  <si>
    <t xml:space="preserve">Indicador</t>
  </si>
  <si>
    <t xml:space="preserve">Valor</t>
  </si>
  <si>
    <t xml:space="preserve">Definición</t>
  </si>
  <si>
    <t xml:space="preserve">Período</t>
  </si>
  <si>
    <t xml:space="preserve">Estado</t>
  </si>
  <si>
    <t xml:space="preserve">Fuente</t>
  </si>
  <si>
    <t xml:space="preserve">Costo mensual M1–M6</t>
  </si>
  <si>
    <t xml:space="preserve">Salario base mensual + seguro médico únicamente</t>
  </si>
  <si>
    <t xml:space="preserve">M1–M6</t>
  </si>
  <si>
    <t xml:space="preserve">Calculado</t>
  </si>
  <si>
    <t xml:space="preserve">Personal</t>
  </si>
  <si>
    <t xml:space="preserve">Bloque 1 — seis meses</t>
  </si>
  <si>
    <t xml:space="preserve">Rotación; sin housing, home leave, transporte, impuesto empresarial ni bonus</t>
  </si>
  <si>
    <t xml:space="preserve">Costo mensual M7+</t>
  </si>
  <si>
    <t xml:space="preserve">Salario base + beneficios individuales</t>
  </si>
  <si>
    <t xml:space="preserve">M7+</t>
  </si>
  <si>
    <t xml:space="preserve">Bloque 2 — seis meses</t>
  </si>
  <si>
    <t xml:space="preserve">Seis meses con paquetes individuales</t>
  </si>
  <si>
    <t xml:space="preserve">M7–M12</t>
  </si>
  <si>
    <t xml:space="preserve">Costo total Año 1</t>
  </si>
  <si>
    <t xml:space="preserve">Bloque 1 + Bloque 2</t>
  </si>
  <si>
    <t xml:space="preserve">Año 1</t>
  </si>
  <si>
    <t xml:space="preserve">Paquete fuente anual</t>
  </si>
  <si>
    <t xml:space="preserve">Referencia original de nueve posiciones</t>
  </si>
  <si>
    <t xml:space="preserve">12 meses</t>
  </si>
  <si>
    <t xml:space="preserve">Referencia</t>
  </si>
  <si>
    <t xml:space="preserve">Tabla fuente</t>
  </si>
  <si>
    <t xml:space="preserve">Ahorro Año 1 vs. fuente</t>
  </si>
  <si>
    <t xml:space="preserve">Paquete fuente menos costo Año 1</t>
  </si>
  <si>
    <t xml:space="preserve">Run-rate anual M13+</t>
  </si>
  <si>
    <t xml:space="preserve">Costo recurrente anual con beneficios M7+</t>
  </si>
  <si>
    <t xml:space="preserve">M13+</t>
  </si>
  <si>
    <t xml:space="preserve">DOS PUNTOS DE COSTO POR PERSONA</t>
  </si>
  <si>
    <t xml:space="preserve">Person</t>
  </si>
  <si>
    <t xml:space="preserve">Position</t>
  </si>
  <si>
    <t xml:space="preserve">Monthly M1–M6</t>
  </si>
  <si>
    <t xml:space="preserve">6M Cost M1–M6</t>
  </si>
  <si>
    <t xml:space="preserve">Package M7+</t>
  </si>
  <si>
    <t xml:space="preserve">Monthly M7+</t>
  </si>
  <si>
    <t xml:space="preserve">6M Cost M7–M12</t>
  </si>
  <si>
    <t xml:space="preserve">Year 1</t>
  </si>
  <si>
    <t xml:space="preserve">AHORRO POR PERSONA VS. PAQUETE FUENTE</t>
  </si>
  <si>
    <t xml:space="preserve">Source Annual Package</t>
  </si>
  <si>
    <t xml:space="preserve">Year 1 Cost</t>
  </si>
  <si>
    <t xml:space="preserve">Savings</t>
  </si>
  <si>
    <t xml:space="preserve">Primary driver</t>
  </si>
  <si>
    <t xml:space="preserve">Status</t>
  </si>
  <si>
    <t xml:space="preserve">Notes</t>
  </si>
  <si>
    <t xml:space="preserve">Seis meses sin beneficios salvo seguro médico.</t>
  </si>
  <si>
    <t xml:space="preserve">Provisional</t>
  </si>
  <si>
    <t xml:space="preserve">—</t>
  </si>
  <si>
    <t xml:space="preserve">M1–M6 sin beneficios; M7 repatriado con bonus.</t>
  </si>
  <si>
    <t xml:space="preserve">Confirmado</t>
  </si>
  <si>
    <t xml:space="preserve">Stock options TBD</t>
  </si>
  <si>
    <t xml:space="preserve">M1–M6 sin beneficios; M7 sin housing.</t>
  </si>
  <si>
    <t xml:space="preserve">M1–M6 sin beneficios; housing M7+ de $1.000/mes.</t>
  </si>
  <si>
    <t xml:space="preserve">Remote con salario base solamente.</t>
  </si>
  <si>
    <t xml:space="preserve">M1–M6 sin beneficios; paquete On rotation desde M7.</t>
  </si>
  <si>
    <t xml:space="preserve">Local o staff house; sin housing allowance en efectivo.</t>
  </si>
  <si>
    <t xml:space="preserve">Asumido</t>
  </si>
  <si>
    <t xml:space="preserve">REGLA DEL MODELO</t>
  </si>
  <si>
    <t xml:space="preserve">1. El salario base anual no cambia entre bloques y coincide con la tabla fuente.</t>
  </si>
  <si>
    <t xml:space="preserve">2. M1–M6: el único beneficio es seguro médico; JJI no recibe beneficios por su condición Remote.</t>
  </si>
  <si>
    <t xml:space="preserve">3. M7–M12: se aplican los beneficios individuales documentados en Personal.</t>
  </si>
  <si>
    <t xml:space="preserve">4. Stock options permanecen en TBD y no se incluyen en costos; vacaciones no generan un costo separado del salario.</t>
  </si>
  <si>
    <t xml:space="preserve">SECONDMENTS INICIALES — SALARIO PAGADO POR PU</t>
  </si>
  <si>
    <t xml:space="preserve">Initial PU Appointment</t>
  </si>
  <si>
    <t xml:space="preserve">Arrangement</t>
  </si>
  <si>
    <t xml:space="preserve">Salary Payer</t>
  </si>
  <si>
    <t xml:space="preserve">Annual Base Salary</t>
  </si>
  <si>
    <t xml:space="preserve">Monthly Salary</t>
  </si>
  <si>
    <t xml:space="preserve">6M Salary</t>
  </si>
  <si>
    <t xml:space="preserve">Treatment</t>
  </si>
  <si>
    <t xml:space="preserve">Costo por persona — dos bloques</t>
  </si>
  <si>
    <t xml:space="preserve">Bloque 1: M1–M6 en rotación, salario base sin cambios + seguro médico únicamente | Bloque 2: M7–M12 con beneficios</t>
  </si>
  <si>
    <t xml:space="preserve">USD | Salario base anual idéntico a la tabla fuente | Azul = entrada; negro = fórmula</t>
  </si>
  <si>
    <t xml:space="preserve">#</t>
  </si>
  <si>
    <t xml:space="preserve">Base Salary
Annual — unchanged</t>
  </si>
  <si>
    <t xml:space="preserve">Medical
Annual M1–M6</t>
  </si>
  <si>
    <t xml:space="preserve">Block 1
Status</t>
  </si>
  <si>
    <t xml:space="preserve">Base Salary
Monthly M1–M6</t>
  </si>
  <si>
    <t xml:space="preserve">Medical
Monthly M1–M6</t>
  </si>
  <si>
    <t xml:space="preserve">Total Monthly
M1–M6</t>
  </si>
  <si>
    <t xml:space="preserve">Block 1
6-Month Cost</t>
  </si>
  <si>
    <t xml:space="preserve">Package
M7+</t>
  </si>
  <si>
    <t xml:space="preserve">City
M7+</t>
  </si>
  <si>
    <t xml:space="preserve">Housing
Annual M7+</t>
  </si>
  <si>
    <t xml:space="preserve">Medical
Annual M7+</t>
  </si>
  <si>
    <t xml:space="preserve">Home Leave
Annual M7+</t>
  </si>
  <si>
    <t xml:space="preserve">Company Transport
Annual M7+</t>
  </si>
  <si>
    <t xml:space="preserve">Employer Tax
Annual M7+</t>
  </si>
  <si>
    <t xml:space="preserve">Annual Bonus
M7+</t>
  </si>
  <si>
    <t xml:space="preserve">Stock Options
Annual Value</t>
  </si>
  <si>
    <t xml:space="preserve">Vacation
Days</t>
  </si>
  <si>
    <t xml:space="preserve">Total Monthly
M7+</t>
  </si>
  <si>
    <t xml:space="preserve">Block 2
6-Month Cost</t>
  </si>
  <si>
    <t xml:space="preserve">Year 1
Total</t>
  </si>
  <si>
    <t xml:space="preserve">Source Annual
Package</t>
  </si>
  <si>
    <t xml:space="preserve">Year 1
Savings</t>
  </si>
  <si>
    <t xml:space="preserve">Run-rate
M13+</t>
  </si>
  <si>
    <t xml:space="preserve">COO / PU General Manager</t>
  </si>
  <si>
    <t xml:space="preserve">Martin del Castillo</t>
  </si>
  <si>
    <t xml:space="preserve">Rotación</t>
  </si>
  <si>
    <t xml:space="preserve">Expatriado</t>
  </si>
  <si>
    <t xml:space="preserve">Por definir</t>
  </si>
  <si>
    <t xml:space="preserve">EPCM &amp; Engineering Manager</t>
  </si>
  <si>
    <t xml:space="preserve">Juan Conde</t>
  </si>
  <si>
    <t xml:space="preserve">Repatriado</t>
  </si>
  <si>
    <t xml:space="preserve">Maracaibo</t>
  </si>
  <si>
    <t xml:space="preserve">TBD</t>
  </si>
  <si>
    <t xml:space="preserve">Drilling &amp; Well Services Manager</t>
  </si>
  <si>
    <t xml:space="preserve">Alexander Stulme</t>
  </si>
  <si>
    <t xml:space="preserve">Operations &amp; Maintenance Manager</t>
  </si>
  <si>
    <t xml:space="preserve">Félix Valderrama</t>
  </si>
  <si>
    <t xml:space="preserve">Technical Manager (Geosciences)</t>
  </si>
  <si>
    <t xml:space="preserve">Alan McKeon</t>
  </si>
  <si>
    <t xml:space="preserve">Reservoir Engineer</t>
  </si>
  <si>
    <t xml:space="preserve">JJI</t>
  </si>
  <si>
    <t xml:space="preserve">Remote</t>
  </si>
  <si>
    <t xml:space="preserve">Remoto</t>
  </si>
  <si>
    <t xml:space="preserve">Rig Company Man</t>
  </si>
  <si>
    <t xml:space="preserve">Marcelo Dantas</t>
  </si>
  <si>
    <t xml:space="preserve">On rotation</t>
  </si>
  <si>
    <t xml:space="preserve">Planning &amp; PMO</t>
  </si>
  <si>
    <t xml:space="preserve">Jose Miguel</t>
  </si>
  <si>
    <t xml:space="preserve">Local</t>
  </si>
  <si>
    <t xml:space="preserve">Operations Support</t>
  </si>
  <si>
    <t xml:space="preserve">TOTAL — 9 POSICIONES</t>
  </si>
  <si>
    <t xml:space="preserve">Secondments iniciales de PU</t>
  </si>
  <si>
    <t xml:space="preserve">Nombramientos iniciales cuyo salario es pagado por PU</t>
  </si>
  <si>
    <t xml:space="preserve">USD | Martin Aguero es un costo adicional separado del paquete de nueve posiciones</t>
  </si>
  <si>
    <t xml:space="preserve">ASIGNACIONES INICIALES</t>
  </si>
  <si>
    <t xml:space="preserve">General Manager — PU</t>
  </si>
  <si>
    <t xml:space="preserve">Secondment</t>
  </si>
  <si>
    <t xml:space="preserve">PU</t>
  </si>
  <si>
    <t xml:space="preserve">Incluido en el modelo de 9 posiciones</t>
  </si>
  <si>
    <t xml:space="preserve">Technical Manager — PU</t>
  </si>
  <si>
    <t xml:space="preserve">Martin Aguero</t>
  </si>
  <si>
    <t xml:space="preserve">Infrastructure Manager — PU</t>
  </si>
  <si>
    <t xml:space="preserve">Costo adicional de PU; separado del paquete de 9 posiciones</t>
  </si>
  <si>
    <t xml:space="preserve">TOTAL CONOCIDO</t>
  </si>
  <si>
    <t xml:space="preserve">Incluye Martin Aguero; no duplicar Alexander y Alan</t>
  </si>
  <si>
    <t xml:space="preserve">TRATAMIENTO EN EL MODELO</t>
  </si>
  <si>
    <t xml:space="preserve">• Alexander Stulme y Alan McKeon ya están incluidos en el modelo principal con sus salarios base originales sin cambios.</t>
  </si>
  <si>
    <t xml:space="preserve">• Martin Aguero es una asignación adicional con salario anual de $180.000; se presenta separado del costo de nueve posiciones.</t>
  </si>
  <si>
    <t xml:space="preserve">• PU se identifica como pagador del salario para los tres secondments.</t>
  </si>
  <si>
    <t xml:space="preserve">Costo mensual por persona</t>
  </si>
  <si>
    <t xml:space="preserve">M1–M6: salario base + seguro médico | M7–M12: salario base + beneficios individuales</t>
  </si>
  <si>
    <t xml:space="preserve">USD | Costos recurrentes; stock options no valoradas</t>
  </si>
  <si>
    <t xml:space="preserve">M1–M12 POR PERSONA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</si>
  <si>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</si>
  <si>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</si>
  <si>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</si>
  <si>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</si>
  <si>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</si>
  <si>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</si>
  <si>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</si>
  <si>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</si>
  <si>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</si>
  <si>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</si>
  <si>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</si>
  <si>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</si>
  <si>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Monthly change M7 vs. M6</t>
  </si>
  <si>
    <t xml:space="preserve">Tax treatment M7+</t>
  </si>
  <si>
    <t xml:space="preserve">Beneficios individuales desde M7</t>
  </si>
  <si>
    <t xml:space="preserve">Detalle cualitativo y cuantitativo por persona</t>
  </si>
  <si>
    <t xml:space="preserve">USD anuales, salvo días</t>
  </si>
  <si>
    <t xml:space="preserve">PAQUETE DE BENEFICIOS M7+</t>
  </si>
  <si>
    <t xml:space="preserve">Package</t>
  </si>
  <si>
    <t xml:space="preserve">City</t>
  </si>
  <si>
    <t xml:space="preserve">Housing</t>
  </si>
  <si>
    <t xml:space="preserve">Medical</t>
  </si>
  <si>
    <t xml:space="preserve">Home Leave</t>
  </si>
  <si>
    <t xml:space="preserve">Transport</t>
  </si>
  <si>
    <t xml:space="preserve">Employer Tax</t>
  </si>
  <si>
    <t xml:space="preserve">Bonus</t>
  </si>
  <si>
    <t xml:space="preserve">Stock Options</t>
  </si>
  <si>
    <t xml:space="preserve">Vacation Days</t>
  </si>
  <si>
    <t xml:space="preserve">DEFINICIONES</t>
  </si>
  <si>
    <t xml:space="preserve">• Repatriado: empleado asume su impuesto personal; housing y demás beneficios dependen del paquete individual.</t>
  </si>
  <si>
    <t xml:space="preserve">• Expatriado: empresa cubre el impuesto presupuestado del país de trabajo y mantiene beneficios internacionales.</t>
  </si>
  <si>
    <t xml:space="preserve">• Company Transport: transporte provisto por la compañía para el trabajo; no implica vehículo personal garantizado.</t>
  </si>
  <si>
    <t xml:space="preserve">• Bonus: cuatro meses de salario anual para Juan, Alexander y Félix; se prorratea mensualmente desde M7.</t>
  </si>
  <si>
    <t xml:space="preserve">• Stock options: beneficio reconocido, pero sin valor hasta aprobación y valoración del plan.</t>
  </si>
  <si>
    <t xml:space="preserve">• Vacaciones: 13 días para Juan, Alexander y Félix; se consideran pagadas dentro del salario, sin costo incremental.</t>
  </si>
  <si>
    <t xml:space="preserve">Supuestos del modelo reconstruido</t>
  </si>
  <si>
    <t xml:space="preserve">Reglas acordadas para los dos bloques</t>
  </si>
  <si>
    <t xml:space="preserve">Celdas azules = supuestos editables</t>
  </si>
  <si>
    <t xml:space="preserve">REGLAS PRINCIPALES</t>
  </si>
  <si>
    <t xml:space="preserve">Supuesto</t>
  </si>
  <si>
    <t xml:space="preserve">Aplicación</t>
  </si>
  <si>
    <t xml:space="preserve">Meses Bloque 1</t>
  </si>
  <si>
    <t xml:space="preserve">Meses Bloque 2</t>
  </si>
  <si>
    <t xml:space="preserve">Beneficio permitido en Bloque 1</t>
  </si>
  <si>
    <t xml:space="preserve">Seguro médico únicamente</t>
  </si>
  <si>
    <t xml:space="preserve">JJI no recibe beneficios por ser Remote</t>
  </si>
  <si>
    <t xml:space="preserve">Salario base</t>
  </si>
  <si>
    <t xml:space="preserve">Sin cambios</t>
  </si>
  <si>
    <t xml:space="preserve">Misma base anual de la tabla fuente</t>
  </si>
  <si>
    <t xml:space="preserve">Stock options</t>
  </si>
  <si>
    <t xml:space="preserve">Excluidas de costo</t>
  </si>
  <si>
    <t xml:space="preserve">Vacaciones</t>
  </si>
  <si>
    <t xml:space="preserve">13 días</t>
  </si>
  <si>
    <t xml:space="preserve">Juan, Alexander y Félix; sin costo incremental</t>
  </si>
  <si>
    <t xml:space="preserve">ADVERTENCIA</t>
  </si>
  <si>
    <t xml:space="preserve">El modelo es presupuestario. La autorización de trabajo, clasificación laboral, residencia fiscal, impuesto personal, cargas patronales, bonus, vacaciones y stock options deben ser validados por asesores venezolanos y Recursos Humanos.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</si>
</sst>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.0;&quot;($&quot;#,##0.0\);\-"/>
    <numFmt numFmtId="166" formatCode="#,##0.0;\(#,##0.0\);\-"/>
    <numFmt numFmtId="167" formatCode="#,##0"/>
    <numFmt numFmtId="168" formatCode="General"/>
  </numFmts>
  <fonts count="24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name val="Arial"/>
      <family val="2"/>
    </font>
    <font>
      <b val="true"/>
      <sz val="10"/>
      <color rgb="FFC00000"/>
      <name val="Arial"/>
      <family val="0"/>
      <charset val="1"/>
    </font>
    <font>
      <b val="true"/>
      <sz val="9"/>
      <color rgb="FF008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11"/>
      <color theme="1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35B44"/>
        <bgColor rgb="FF333333"/>
      </patternFill>
    </fill>
    <fill>
      <patternFill patternType="solid">
        <fgColor rgb="FFCFE9E0"/>
        <bgColor rgb="FFD9D9D9"/>
      </patternFill>
    </fill>
  </fills>
  <borders count="7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35B44"/>
      </bottom>
      <diagonal/>
    </border>
    <border diagonalUp="false" diagonalDown="false">
      <left/>
      <right/>
      <top style="medium">
        <color rgb="FF135B44"/>
      </top>
      <bottom style="medium">
        <color rgb="FF135B44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B7B7B7"/>
      </top>
      <bottom style="thin">
        <color rgb="FFB7B7B7"/>
      </bottom>
      <diagonal/>
    </border>
    <border diagonalUp="false" diagonalDown="false">
      <left/>
      <right/>
      <top style="thin">
        <color rgb="FFB7B7B7"/>
      </top>
      <bottom style="thin"/>
      <diagonal/>
    </border>
    <border diagonalUp="false" diagonalDown="false">
      <left/>
      <right/>
      <top style="medium">
        <color rgb="FF135B44"/>
      </top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3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11" fillId="0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2" fillId="0" borderId="4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11" fillId="0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4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2" fillId="0" borderId="5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11" fillId="0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0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10" fillId="0" borderId="3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10" fillId="0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10" fillId="0" borderId="4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10" fillId="0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10" fillId="0" borderId="5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6" fontId="10" fillId="0" borderId="5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10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10" fillId="0" borderId="0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6" fontId="10" fillId="0" borderId="0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12" fillId="0" borderId="6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5" fontId="12" fillId="0" borderId="6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6" fontId="12" fillId="0" borderId="6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7" fontId="16" fillId="0" borderId="0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16" fillId="0" borderId="0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6" fontId="16" fillId="0" borderId="0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7" fillId="0" borderId="0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6" fontId="17" fillId="0" borderId="0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6" fontId="18" fillId="0" borderId="0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5" fontId="18" fillId="0" borderId="0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8" fillId="0" borderId="6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6" fontId="18" fillId="0" borderId="6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16" fillId="0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7" fillId="0" borderId="3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16" fillId="0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6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7" fillId="0" borderId="4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16" fillId="0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6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7" fillId="0" borderId="5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2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2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0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23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6" fillId="0" borderId="3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7" fontId="16" fillId="0" borderId="4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6" fontId="10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0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6" fillId="0" borderId="5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0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35B4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FE9E0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666666"/>
      <rgbColor rgb="FF969696"/>
      <rgbColor rgb="FF135B4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Costo Año 1 por persona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Resumen!$E$35</c:f>
              <c:strCache>
                <c:ptCount val="1"/>
                <c:pt idx="0">
                  <c:v>Year 1 Cost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Resumen!$C$36:$C$44</c:f>
              <c:strCache>
                <c:ptCount val="9"/>
                <c:pt idx="0">
                  <c:v>Martin del Castillo</c:v>
                </c:pt>
                <c:pt idx="1">
                  <c:v>Juan Conde</c:v>
                </c:pt>
                <c:pt idx="2">
                  <c:v>Alexander Stulme</c:v>
                </c:pt>
                <c:pt idx="3">
                  <c:v>Félix Valderrama</c:v>
                </c:pt>
                <c:pt idx="4">
                  <c:v>Alan McKeon</c:v>
                </c:pt>
                <c:pt idx="5">
                  <c:v>JJI</c:v>
                </c:pt>
                <c:pt idx="6">
                  <c:v>Marcelo Dantas</c:v>
                </c:pt>
                <c:pt idx="7">
                  <c:v>Jose Miguel</c:v>
                </c:pt>
                <c:pt idx="8">
                  <c:v>TBD</c:v>
                </c:pt>
              </c:strCache>
            </c:strRef>
          </c:cat>
          <c:val>
            <c:numRef>
              <c:f>Resumen!$E$36:$E$44</c:f>
              <c:numCache>
                <c:formatCode>#,##0.0;\(#,##0.0\);\-</c:formatCode>
                <c:ptCount val="9"/>
                <c:pt idx="0">
                  <c:v>448000</c:v>
                </c:pt>
                <c:pt idx="1">
                  <c:v>285000</c:v>
                </c:pt>
                <c:pt idx="2">
                  <c:v>231000</c:v>
                </c:pt>
                <c:pt idx="3">
                  <c:v>285000</c:v>
                </c:pt>
                <c:pt idx="4">
                  <c:v>231000</c:v>
                </c:pt>
                <c:pt idx="5">
                  <c:v>120000</c:v>
                </c:pt>
                <c:pt idx="6">
                  <c:v>237000</c:v>
                </c:pt>
                <c:pt idx="7">
                  <c:v>59600</c:v>
                </c:pt>
                <c:pt idx="8">
                  <c:v>59600</c:v>
                </c:pt>
              </c:numCache>
            </c:numRef>
          </c:val>
        </c:ser>
        <c:gapWidth val="150"/>
        <c:overlap val="0"/>
        <c:axId val="19075481"/>
        <c:axId val="79264142"/>
      </c:barChart>
      <c:catAx>
        <c:axId val="1907548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264142"/>
        <c:crosses val="autoZero"/>
        <c:auto val="1"/>
        <c:lblAlgn val="ctr"/>
        <c:lblOffset val="100"/>
        <c:noMultiLvlLbl val="0"/>
      </c:catAx>
      <c:valAx>
        <c:axId val="792641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07548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19</xdr:row>
      <xdr:rowOff>130680</xdr:rowOff>
    </xdr:from>
    <xdr:to>
      <xdr:col>17</xdr:col>
      <xdr:colOff>684360</xdr:colOff>
      <xdr:row>28</xdr:row>
      <xdr:rowOff>313560</xdr:rowOff>
    </xdr:to>
    <xdr:graphicFrame>
      <xdr:nvGraphicFramePr>
        <xdr:cNvPr id="0" name="Chart 1"/>
        <xdr:cNvGraphicFramePr/>
      </xdr:nvGraphicFramePr>
      <xdr:xfrm>
        <a:off x="21053520" y="5855040"/>
        <a:ext cx="5484960" cy="2964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X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44" activePane="bottomLeft" state="frozen"/>
      <selection pane="topLeft" activeCell="A1" activeCellId="0" sqref="A1"/>
      <selection pane="bottomLeft" activeCell="A1" activeCellId="0" sqref="A1"/>
    </sheetView>
  </sheetViews>
  <sheetFormatPr defaultColWidth="8.57421875" defaultRowHeight="21.75" zeroHeight="false" outlineLevelRow="0" outlineLevelCol="0"/>
  <cols>
    <col collapsed="false" customWidth="false" hidden="false" outlineLevel="0" max="2" min="1" style="1" width="8.57"/>
    <col collapsed="false" customWidth="true" hidden="false" outlineLevel="0" max="3" min="3" style="1" width="48.57"/>
    <col collapsed="false" customWidth="true" hidden="false" outlineLevel="0" max="4" min="4" style="1" width="31.15"/>
    <col collapsed="false" customWidth="true" hidden="false" outlineLevel="0" max="5" min="5" style="1" width="48.57"/>
    <col collapsed="false" customWidth="true" hidden="false" outlineLevel="0" max="6" min="6" style="1" width="13.42"/>
    <col collapsed="false" customWidth="true" hidden="false" outlineLevel="0" max="7" min="7" style="1" width="41.71"/>
    <col collapsed="false" customWidth="true" hidden="false" outlineLevel="0" max="8" min="8" style="1" width="12.72"/>
    <col collapsed="false" customWidth="true" hidden="false" outlineLevel="0" max="9" min="9" style="1" width="14.7"/>
    <col collapsed="false" customWidth="true" hidden="false" outlineLevel="0" max="10" min="10" style="1" width="35.15"/>
  </cols>
  <sheetData>
    <row r="1" customFormat="false" ht="21.75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</row>
    <row r="4" customFormat="false" ht="19.5" hidden="false" customHeight="true" outlineLevel="0" collapsed="false">
      <c r="C4" s="3" t="s">
        <v>0</v>
      </c>
      <c r="D4" s="3"/>
      <c r="E4" s="3"/>
      <c r="F4" s="3"/>
      <c r="G4" s="3"/>
      <c r="H4" s="3"/>
      <c r="I4" s="3"/>
      <c r="J4" s="3"/>
      <c r="K4" s="3"/>
      <c r="L4" s="3"/>
    </row>
    <row r="6" customFormat="false" ht="15" hidden="false" customHeight="true" outlineLevel="0" collapsed="false">
      <c r="C6" s="4" t="s">
        <v>1</v>
      </c>
    </row>
    <row r="7" customFormat="false" ht="15" hidden="false" customHeight="true" outlineLevel="0" collapsed="false">
      <c r="C7" s="5" t="s">
        <v>2</v>
      </c>
    </row>
    <row r="9" customFormat="false" ht="15" hidden="false" customHeight="true" outlineLevel="0" collapsed="false">
      <c r="C9" s="6" t="s">
        <v>3</v>
      </c>
      <c r="D9" s="6"/>
      <c r="E9" s="6"/>
      <c r="F9" s="6"/>
      <c r="G9" s="6"/>
      <c r="H9" s="6"/>
    </row>
    <row r="10" customFormat="false" ht="33.75" hidden="false" customHeight="true" outlineLevel="0" collapsed="false">
      <c r="C10" s="7" t="s">
        <v>4</v>
      </c>
      <c r="D10" s="7" t="s">
        <v>5</v>
      </c>
      <c r="E10" s="7" t="s">
        <v>6</v>
      </c>
      <c r="F10" s="7" t="s">
        <v>7</v>
      </c>
      <c r="G10" s="7" t="s">
        <v>8</v>
      </c>
      <c r="H10" s="7" t="s">
        <v>9</v>
      </c>
    </row>
    <row r="11" customFormat="false" ht="27.75" hidden="false" customHeight="true" outlineLevel="0" collapsed="false">
      <c r="C11" s="8" t="s">
        <v>10</v>
      </c>
      <c r="D11" s="9" t="n">
        <f aca="false">Personal!K21</f>
        <v>136333.333333333</v>
      </c>
      <c r="E11" s="10" t="s">
        <v>11</v>
      </c>
      <c r="F11" s="10" t="s">
        <v>12</v>
      </c>
      <c r="G11" s="10" t="s">
        <v>13</v>
      </c>
      <c r="H11" s="10" t="s">
        <v>14</v>
      </c>
    </row>
    <row r="12" customFormat="false" ht="27.75" hidden="false" customHeight="true" outlineLevel="0" collapsed="false">
      <c r="C12" s="11" t="s">
        <v>15</v>
      </c>
      <c r="D12" s="12" t="n">
        <f aca="false">Personal!L21</f>
        <v>818000</v>
      </c>
      <c r="E12" s="13" t="s">
        <v>16</v>
      </c>
      <c r="F12" s="13" t="s">
        <v>12</v>
      </c>
      <c r="G12" s="13" t="s">
        <v>13</v>
      </c>
      <c r="H12" s="13" t="s">
        <v>14</v>
      </c>
    </row>
    <row r="13" customFormat="false" ht="27.75" hidden="false" customHeight="true" outlineLevel="0" collapsed="false">
      <c r="C13" s="14" t="s">
        <v>17</v>
      </c>
      <c r="D13" s="15" t="n">
        <f aca="false">Personal!W21</f>
        <v>189700</v>
      </c>
      <c r="E13" s="13" t="s">
        <v>18</v>
      </c>
      <c r="F13" s="13" t="s">
        <v>19</v>
      </c>
      <c r="G13" s="13" t="s">
        <v>13</v>
      </c>
      <c r="H13" s="13" t="s">
        <v>14</v>
      </c>
    </row>
    <row r="14" customFormat="false" ht="27.75" hidden="false" customHeight="true" outlineLevel="0" collapsed="false">
      <c r="C14" s="14" t="s">
        <v>20</v>
      </c>
      <c r="D14" s="15" t="n">
        <f aca="false">Personal!X21</f>
        <v>1138200</v>
      </c>
      <c r="E14" s="13" t="s">
        <v>21</v>
      </c>
      <c r="F14" s="13" t="s">
        <v>22</v>
      </c>
      <c r="G14" s="13" t="s">
        <v>13</v>
      </c>
      <c r="H14" s="13" t="s">
        <v>14</v>
      </c>
    </row>
    <row r="15" customFormat="false" ht="27.75" hidden="false" customHeight="true" outlineLevel="0" collapsed="false">
      <c r="C15" s="11" t="s">
        <v>23</v>
      </c>
      <c r="D15" s="12" t="n">
        <f aca="false">Personal!Y21</f>
        <v>1956200</v>
      </c>
      <c r="E15" s="13" t="s">
        <v>24</v>
      </c>
      <c r="F15" s="13" t="s">
        <v>25</v>
      </c>
      <c r="G15" s="13" t="s">
        <v>13</v>
      </c>
      <c r="H15" s="13" t="s">
        <v>14</v>
      </c>
    </row>
    <row r="16" customFormat="false" ht="27.75" hidden="false" customHeight="true" outlineLevel="0" collapsed="false">
      <c r="C16" s="14" t="s">
        <v>26</v>
      </c>
      <c r="D16" s="15" t="n">
        <f aca="false">Personal!Z21</f>
        <v>2396800</v>
      </c>
      <c r="E16" s="13" t="s">
        <v>27</v>
      </c>
      <c r="F16" s="13" t="s">
        <v>28</v>
      </c>
      <c r="G16" s="13" t="s">
        <v>29</v>
      </c>
      <c r="H16" s="13" t="s">
        <v>30</v>
      </c>
    </row>
    <row r="17" customFormat="false" ht="27.75" hidden="false" customHeight="true" outlineLevel="0" collapsed="false">
      <c r="C17" s="11" t="s">
        <v>31</v>
      </c>
      <c r="D17" s="12" t="n">
        <f aca="false">Personal!AA21</f>
        <v>440600</v>
      </c>
      <c r="E17" s="13" t="s">
        <v>32</v>
      </c>
      <c r="F17" s="13" t="s">
        <v>25</v>
      </c>
      <c r="G17" s="13" t="s">
        <v>13</v>
      </c>
      <c r="H17" s="13" t="s">
        <v>14</v>
      </c>
    </row>
    <row r="18" customFormat="false" ht="27.75" hidden="false" customHeight="true" outlineLevel="0" collapsed="false">
      <c r="C18" s="16" t="s">
        <v>33</v>
      </c>
      <c r="D18" s="17" t="n">
        <f aca="false">Personal!AB21</f>
        <v>2276400</v>
      </c>
      <c r="E18" s="18" t="s">
        <v>34</v>
      </c>
      <c r="F18" s="18" t="s">
        <v>35</v>
      </c>
      <c r="G18" s="18" t="s">
        <v>13</v>
      </c>
      <c r="H18" s="18" t="s">
        <v>14</v>
      </c>
    </row>
    <row r="21" customFormat="false" ht="15" hidden="false" customHeight="true" outlineLevel="0" collapsed="false">
      <c r="C21" s="6" t="s">
        <v>36</v>
      </c>
      <c r="D21" s="6"/>
      <c r="E21" s="6"/>
      <c r="F21" s="6"/>
      <c r="G21" s="6"/>
      <c r="H21" s="6"/>
      <c r="I21" s="6"/>
      <c r="J21" s="6"/>
    </row>
    <row r="22" customFormat="false" ht="33.75" hidden="false" customHeight="true" outlineLevel="0" collapsed="false">
      <c r="C22" s="7" t="s">
        <v>37</v>
      </c>
      <c r="D22" s="7" t="s">
        <v>38</v>
      </c>
      <c r="E22" s="7" t="s">
        <v>39</v>
      </c>
      <c r="F22" s="7" t="s">
        <v>40</v>
      </c>
      <c r="G22" s="7" t="s">
        <v>41</v>
      </c>
      <c r="H22" s="7" t="s">
        <v>42</v>
      </c>
      <c r="I22" s="7" t="s">
        <v>43</v>
      </c>
      <c r="J22" s="7" t="s">
        <v>44</v>
      </c>
    </row>
    <row r="23" customFormat="false" ht="24.75" hidden="false" customHeight="true" outlineLevel="0" collapsed="false">
      <c r="C23" s="19" t="str">
        <f aca="false">Personal!E12</f>
        <v>Martin del Castillo</v>
      </c>
      <c r="D23" s="19" t="str">
        <f aca="false">Personal!D12</f>
        <v>COO / PU General Manager</v>
      </c>
      <c r="E23" s="9" t="n">
        <f aca="false">Personal!K12</f>
        <v>31000</v>
      </c>
      <c r="F23" s="20" t="n">
        <f aca="false">Personal!L12</f>
        <v>186000</v>
      </c>
      <c r="G23" s="19" t="str">
        <f aca="false">Personal!M12</f>
        <v>Expatriado</v>
      </c>
      <c r="H23" s="20" t="n">
        <f aca="false">Personal!W12</f>
        <v>43666.6666666667</v>
      </c>
      <c r="I23" s="20" t="n">
        <f aca="false">Personal!X12</f>
        <v>262000</v>
      </c>
      <c r="J23" s="20" t="n">
        <f aca="false">Personal!Y12</f>
        <v>448000</v>
      </c>
    </row>
    <row r="24" customFormat="false" ht="24.75" hidden="false" customHeight="true" outlineLevel="0" collapsed="false">
      <c r="C24" s="21" t="str">
        <f aca="false">Personal!E13</f>
        <v>Juan Conde</v>
      </c>
      <c r="D24" s="21" t="str">
        <f aca="false">Personal!D13</f>
        <v>EPCM &amp; Engineering Manager</v>
      </c>
      <c r="E24" s="15" t="n">
        <f aca="false">Personal!K13</f>
        <v>19000</v>
      </c>
      <c r="F24" s="22" t="n">
        <f aca="false">Personal!L13</f>
        <v>114000</v>
      </c>
      <c r="G24" s="21" t="str">
        <f aca="false">Personal!M13</f>
        <v>Repatriado</v>
      </c>
      <c r="H24" s="22" t="n">
        <f aca="false">Personal!W13</f>
        <v>28500</v>
      </c>
      <c r="I24" s="22" t="n">
        <f aca="false">Personal!X13</f>
        <v>171000</v>
      </c>
      <c r="J24" s="22" t="n">
        <f aca="false">Personal!Y13</f>
        <v>285000</v>
      </c>
    </row>
    <row r="25" customFormat="false" ht="24.75" hidden="false" customHeight="true" outlineLevel="0" collapsed="false">
      <c r="C25" s="21" t="str">
        <f aca="false">Personal!E14</f>
        <v>Alexander Stulme</v>
      </c>
      <c r="D25" s="21" t="str">
        <f aca="false">Personal!D14</f>
        <v>Drilling &amp; Well Services Manager</v>
      </c>
      <c r="E25" s="15" t="n">
        <f aca="false">Personal!K14</f>
        <v>16000</v>
      </c>
      <c r="F25" s="22" t="n">
        <f aca="false">Personal!L14</f>
        <v>96000</v>
      </c>
      <c r="G25" s="21" t="str">
        <f aca="false">Personal!M14</f>
        <v>Repatriado</v>
      </c>
      <c r="H25" s="22" t="n">
        <f aca="false">Personal!W14</f>
        <v>22500</v>
      </c>
      <c r="I25" s="22" t="n">
        <f aca="false">Personal!X14</f>
        <v>135000</v>
      </c>
      <c r="J25" s="22" t="n">
        <f aca="false">Personal!Y14</f>
        <v>231000</v>
      </c>
    </row>
    <row r="26" customFormat="false" ht="24.75" hidden="false" customHeight="true" outlineLevel="0" collapsed="false">
      <c r="C26" s="21" t="str">
        <f aca="false">Personal!E15</f>
        <v>Félix Valderrama</v>
      </c>
      <c r="D26" s="21" t="str">
        <f aca="false">Personal!D15</f>
        <v>Operations &amp; Maintenance Manager</v>
      </c>
      <c r="E26" s="15" t="n">
        <f aca="false">Personal!K15</f>
        <v>19000</v>
      </c>
      <c r="F26" s="22" t="n">
        <f aca="false">Personal!L15</f>
        <v>114000</v>
      </c>
      <c r="G26" s="21" t="str">
        <f aca="false">Personal!M15</f>
        <v>Repatriado</v>
      </c>
      <c r="H26" s="22" t="n">
        <f aca="false">Personal!W15</f>
        <v>28500</v>
      </c>
      <c r="I26" s="22" t="n">
        <f aca="false">Personal!X15</f>
        <v>171000</v>
      </c>
      <c r="J26" s="22" t="n">
        <f aca="false">Personal!Y15</f>
        <v>285000</v>
      </c>
    </row>
    <row r="27" customFormat="false" ht="24.75" hidden="false" customHeight="true" outlineLevel="0" collapsed="false">
      <c r="C27" s="21" t="str">
        <f aca="false">Personal!E16</f>
        <v>Alan McKeon</v>
      </c>
      <c r="D27" s="21" t="str">
        <f aca="false">Personal!D16</f>
        <v>Technical Manager (Geosciences)</v>
      </c>
      <c r="E27" s="15" t="n">
        <f aca="false">Personal!K16</f>
        <v>16000</v>
      </c>
      <c r="F27" s="22" t="n">
        <f aca="false">Personal!L16</f>
        <v>96000</v>
      </c>
      <c r="G27" s="21" t="str">
        <f aca="false">Personal!M16</f>
        <v>Expatriado</v>
      </c>
      <c r="H27" s="22" t="n">
        <f aca="false">Personal!W16</f>
        <v>22500</v>
      </c>
      <c r="I27" s="22" t="n">
        <f aca="false">Personal!X16</f>
        <v>135000</v>
      </c>
      <c r="J27" s="22" t="n">
        <f aca="false">Personal!Y16</f>
        <v>231000</v>
      </c>
    </row>
    <row r="28" customFormat="false" ht="24.75" hidden="false" customHeight="true" outlineLevel="0" collapsed="false">
      <c r="C28" s="21" t="str">
        <f aca="false">Personal!E17</f>
        <v>JJI</v>
      </c>
      <c r="D28" s="21" t="str">
        <f aca="false">Personal!D17</f>
        <v>Reservoir Engineer</v>
      </c>
      <c r="E28" s="15" t="n">
        <f aca="false">Personal!K17</f>
        <v>10000</v>
      </c>
      <c r="F28" s="22" t="n">
        <f aca="false">Personal!L17</f>
        <v>60000</v>
      </c>
      <c r="G28" s="21" t="str">
        <f aca="false">Personal!M17</f>
        <v>Remote</v>
      </c>
      <c r="H28" s="22" t="n">
        <f aca="false">Personal!W17</f>
        <v>10000</v>
      </c>
      <c r="I28" s="22" t="n">
        <f aca="false">Personal!X17</f>
        <v>60000</v>
      </c>
      <c r="J28" s="22" t="n">
        <f aca="false">Personal!Y17</f>
        <v>120000</v>
      </c>
    </row>
    <row r="29" customFormat="false" ht="24.75" hidden="false" customHeight="true" outlineLevel="0" collapsed="false">
      <c r="C29" s="21" t="str">
        <f aca="false">Personal!E18</f>
        <v>Marcelo Dantas</v>
      </c>
      <c r="D29" s="21" t="str">
        <f aca="false">Personal!D18</f>
        <v>Rig Company Man</v>
      </c>
      <c r="E29" s="15" t="n">
        <f aca="false">Personal!K18</f>
        <v>16000</v>
      </c>
      <c r="F29" s="22" t="n">
        <f aca="false">Personal!L18</f>
        <v>96000</v>
      </c>
      <c r="G29" s="21" t="str">
        <f aca="false">Personal!M18</f>
        <v>On rotation</v>
      </c>
      <c r="H29" s="22" t="n">
        <f aca="false">Personal!W18</f>
        <v>23500</v>
      </c>
      <c r="I29" s="22" t="n">
        <f aca="false">Personal!X18</f>
        <v>141000</v>
      </c>
      <c r="J29" s="22" t="n">
        <f aca="false">Personal!Y18</f>
        <v>237000</v>
      </c>
    </row>
    <row r="30" customFormat="false" ht="24.75" hidden="false" customHeight="true" outlineLevel="0" collapsed="false">
      <c r="C30" s="21" t="str">
        <f aca="false">Personal!E19</f>
        <v>Jose Miguel</v>
      </c>
      <c r="D30" s="21" t="str">
        <f aca="false">Personal!D19</f>
        <v>Planning &amp; PMO</v>
      </c>
      <c r="E30" s="15" t="n">
        <f aca="false">Personal!K19</f>
        <v>4666.66666666667</v>
      </c>
      <c r="F30" s="22" t="n">
        <f aca="false">Personal!L19</f>
        <v>28000</v>
      </c>
      <c r="G30" s="21" t="str">
        <f aca="false">Personal!M19</f>
        <v>Local</v>
      </c>
      <c r="H30" s="22" t="n">
        <f aca="false">Personal!W19</f>
        <v>5266.66666666667</v>
      </c>
      <c r="I30" s="22" t="n">
        <f aca="false">Personal!X19</f>
        <v>31600</v>
      </c>
      <c r="J30" s="22" t="n">
        <f aca="false">Personal!Y19</f>
        <v>59600</v>
      </c>
    </row>
    <row r="31" customFormat="false" ht="24.75" hidden="false" customHeight="true" outlineLevel="0" collapsed="false">
      <c r="C31" s="23" t="str">
        <f aca="false">Personal!E20</f>
        <v>TBD</v>
      </c>
      <c r="D31" s="23" t="str">
        <f aca="false">Personal!D20</f>
        <v>Operations Support</v>
      </c>
      <c r="E31" s="24" t="n">
        <f aca="false">Personal!K20</f>
        <v>4666.66666666667</v>
      </c>
      <c r="F31" s="25" t="n">
        <f aca="false">Personal!L20</f>
        <v>28000</v>
      </c>
      <c r="G31" s="23" t="str">
        <f aca="false">Personal!M20</f>
        <v>Local</v>
      </c>
      <c r="H31" s="25" t="n">
        <f aca="false">Personal!W20</f>
        <v>5266.66666666667</v>
      </c>
      <c r="I31" s="25" t="n">
        <f aca="false">Personal!X20</f>
        <v>31600</v>
      </c>
      <c r="J31" s="25" t="n">
        <f aca="false">Personal!Y20</f>
        <v>59600</v>
      </c>
    </row>
    <row r="34" customFormat="false" ht="15" hidden="false" customHeight="true" outlineLevel="0" collapsed="false">
      <c r="C34" s="6" t="s">
        <v>45</v>
      </c>
      <c r="D34" s="6"/>
      <c r="E34" s="6"/>
      <c r="F34" s="6"/>
      <c r="G34" s="6"/>
      <c r="H34" s="6"/>
      <c r="I34" s="6"/>
    </row>
    <row r="35" customFormat="false" ht="33.75" hidden="false" customHeight="true" outlineLevel="0" collapsed="false">
      <c r="C35" s="7" t="s">
        <v>37</v>
      </c>
      <c r="D35" s="7" t="s">
        <v>46</v>
      </c>
      <c r="E35" s="7" t="s">
        <v>47</v>
      </c>
      <c r="F35" s="7" t="s">
        <v>48</v>
      </c>
      <c r="G35" s="7" t="s">
        <v>49</v>
      </c>
      <c r="H35" s="7" t="s">
        <v>50</v>
      </c>
      <c r="I35" s="7" t="s">
        <v>51</v>
      </c>
    </row>
    <row r="36" customFormat="false" ht="27.75" hidden="false" customHeight="true" outlineLevel="0" collapsed="false">
      <c r="C36" s="26" t="str">
        <f aca="false">Personal!E12</f>
        <v>Martin del Castillo</v>
      </c>
      <c r="D36" s="9" t="n">
        <f aca="false">Personal!Z12</f>
        <v>524000</v>
      </c>
      <c r="E36" s="20" t="n">
        <f aca="false">Personal!Y12</f>
        <v>448000</v>
      </c>
      <c r="F36" s="20" t="n">
        <f aca="false">Personal!AA12</f>
        <v>76000</v>
      </c>
      <c r="G36" s="10" t="s">
        <v>52</v>
      </c>
      <c r="H36" s="10" t="s">
        <v>53</v>
      </c>
      <c r="I36" s="10" t="s">
        <v>54</v>
      </c>
    </row>
    <row r="37" customFormat="false" ht="27.75" hidden="false" customHeight="true" outlineLevel="0" collapsed="false">
      <c r="C37" s="27" t="str">
        <f aca="false">Personal!E13</f>
        <v>Juan Conde</v>
      </c>
      <c r="D37" s="15" t="n">
        <f aca="false">Personal!Z13</f>
        <v>325200</v>
      </c>
      <c r="E37" s="22" t="n">
        <f aca="false">Personal!Y13</f>
        <v>285000</v>
      </c>
      <c r="F37" s="22" t="n">
        <f aca="false">Personal!AA13</f>
        <v>40200</v>
      </c>
      <c r="G37" s="13" t="s">
        <v>55</v>
      </c>
      <c r="H37" s="13" t="s">
        <v>56</v>
      </c>
      <c r="I37" s="13" t="s">
        <v>57</v>
      </c>
    </row>
    <row r="38" customFormat="false" ht="27.75" hidden="false" customHeight="true" outlineLevel="0" collapsed="false">
      <c r="C38" s="27" t="str">
        <f aca="false">Personal!E14</f>
        <v>Alexander Stulme</v>
      </c>
      <c r="D38" s="15" t="n">
        <f aca="false">Personal!Z14</f>
        <v>282000</v>
      </c>
      <c r="E38" s="22" t="n">
        <f aca="false">Personal!Y14</f>
        <v>231000</v>
      </c>
      <c r="F38" s="22" t="n">
        <f aca="false">Personal!AA14</f>
        <v>51000</v>
      </c>
      <c r="G38" s="13" t="s">
        <v>58</v>
      </c>
      <c r="H38" s="13" t="s">
        <v>56</v>
      </c>
      <c r="I38" s="13" t="s">
        <v>57</v>
      </c>
    </row>
    <row r="39" customFormat="false" ht="27.75" hidden="false" customHeight="true" outlineLevel="0" collapsed="false">
      <c r="C39" s="27" t="str">
        <f aca="false">Personal!E15</f>
        <v>Félix Valderrama</v>
      </c>
      <c r="D39" s="15" t="n">
        <f aca="false">Personal!Z15</f>
        <v>325200</v>
      </c>
      <c r="E39" s="22" t="n">
        <f aca="false">Personal!Y15</f>
        <v>285000</v>
      </c>
      <c r="F39" s="22" t="n">
        <f aca="false">Personal!AA15</f>
        <v>40200</v>
      </c>
      <c r="G39" s="13" t="s">
        <v>55</v>
      </c>
      <c r="H39" s="13" t="s">
        <v>56</v>
      </c>
      <c r="I39" s="13" t="s">
        <v>57</v>
      </c>
    </row>
    <row r="40" customFormat="false" ht="27.75" hidden="false" customHeight="true" outlineLevel="0" collapsed="false">
      <c r="C40" s="27" t="str">
        <f aca="false">Personal!E16</f>
        <v>Alan McKeon</v>
      </c>
      <c r="D40" s="15" t="n">
        <f aca="false">Personal!Z16</f>
        <v>282000</v>
      </c>
      <c r="E40" s="22" t="n">
        <f aca="false">Personal!Y16</f>
        <v>231000</v>
      </c>
      <c r="F40" s="22" t="n">
        <f aca="false">Personal!AA16</f>
        <v>51000</v>
      </c>
      <c r="G40" s="13" t="s">
        <v>59</v>
      </c>
      <c r="H40" s="13" t="s">
        <v>56</v>
      </c>
      <c r="I40" s="13" t="s">
        <v>54</v>
      </c>
    </row>
    <row r="41" customFormat="false" ht="27.75" hidden="false" customHeight="true" outlineLevel="0" collapsed="false">
      <c r="C41" s="27" t="str">
        <f aca="false">Personal!E17</f>
        <v>JJI</v>
      </c>
      <c r="D41" s="15" t="n">
        <f aca="false">Personal!Z17</f>
        <v>194000</v>
      </c>
      <c r="E41" s="22" t="n">
        <f aca="false">Personal!Y17</f>
        <v>120000</v>
      </c>
      <c r="F41" s="22" t="n">
        <f aca="false">Personal!AA17</f>
        <v>74000</v>
      </c>
      <c r="G41" s="13" t="s">
        <v>60</v>
      </c>
      <c r="H41" s="13" t="s">
        <v>56</v>
      </c>
      <c r="I41" s="13" t="s">
        <v>54</v>
      </c>
    </row>
    <row r="42" customFormat="false" ht="27.75" hidden="false" customHeight="true" outlineLevel="0" collapsed="false">
      <c r="C42" s="27" t="str">
        <f aca="false">Personal!E18</f>
        <v>Marcelo Dantas</v>
      </c>
      <c r="D42" s="15" t="n">
        <f aca="false">Personal!Z18</f>
        <v>282000</v>
      </c>
      <c r="E42" s="22" t="n">
        <f aca="false">Personal!Y18</f>
        <v>237000</v>
      </c>
      <c r="F42" s="22" t="n">
        <f aca="false">Personal!AA18</f>
        <v>45000</v>
      </c>
      <c r="G42" s="13" t="s">
        <v>61</v>
      </c>
      <c r="H42" s="13" t="s">
        <v>56</v>
      </c>
      <c r="I42" s="13" t="s">
        <v>54</v>
      </c>
    </row>
    <row r="43" customFormat="false" ht="27.75" hidden="false" customHeight="true" outlineLevel="0" collapsed="false">
      <c r="C43" s="27" t="str">
        <f aca="false">Personal!E19</f>
        <v>Jose Miguel</v>
      </c>
      <c r="D43" s="15" t="n">
        <f aca="false">Personal!Z19</f>
        <v>87200</v>
      </c>
      <c r="E43" s="22" t="n">
        <f aca="false">Personal!Y19</f>
        <v>59600</v>
      </c>
      <c r="F43" s="22" t="n">
        <f aca="false">Personal!AA19</f>
        <v>27600</v>
      </c>
      <c r="G43" s="13" t="s">
        <v>62</v>
      </c>
      <c r="H43" s="13" t="s">
        <v>63</v>
      </c>
      <c r="I43" s="13" t="s">
        <v>54</v>
      </c>
    </row>
    <row r="44" customFormat="false" ht="27.75" hidden="false" customHeight="true" outlineLevel="0" collapsed="false">
      <c r="C44" s="28" t="str">
        <f aca="false">Personal!E20</f>
        <v>TBD</v>
      </c>
      <c r="D44" s="24" t="n">
        <f aca="false">Personal!Z20</f>
        <v>95200</v>
      </c>
      <c r="E44" s="25" t="n">
        <f aca="false">Personal!Y20</f>
        <v>59600</v>
      </c>
      <c r="F44" s="25" t="n">
        <f aca="false">Personal!AA20</f>
        <v>35600</v>
      </c>
      <c r="G44" s="18" t="s">
        <v>62</v>
      </c>
      <c r="H44" s="18" t="s">
        <v>63</v>
      </c>
      <c r="I44" s="18" t="s">
        <v>54</v>
      </c>
    </row>
    <row r="47" customFormat="false" ht="15" hidden="false" customHeight="true" outlineLevel="0" collapsed="false">
      <c r="C47" s="6" t="s">
        <v>64</v>
      </c>
      <c r="D47" s="6"/>
      <c r="E47" s="6"/>
      <c r="F47" s="6"/>
      <c r="G47" s="6"/>
      <c r="H47" s="6"/>
      <c r="I47" s="6"/>
      <c r="J47" s="6"/>
      <c r="K47" s="6"/>
      <c r="L47" s="6"/>
    </row>
    <row r="48" customFormat="false" ht="15" hidden="false" customHeight="true" outlineLevel="0" collapsed="false">
      <c r="C48" s="29" t="s">
        <v>65</v>
      </c>
      <c r="D48" s="29"/>
      <c r="E48" s="29"/>
      <c r="F48" s="29"/>
      <c r="G48" s="29"/>
      <c r="H48" s="29"/>
      <c r="I48" s="29"/>
      <c r="J48" s="29"/>
      <c r="K48" s="29"/>
      <c r="L48" s="29"/>
    </row>
    <row r="49" customFormat="false" ht="15" hidden="false" customHeight="true" outlineLevel="0" collapsed="false">
      <c r="C49" s="29" t="s">
        <v>66</v>
      </c>
      <c r="D49" s="29"/>
      <c r="E49" s="29"/>
      <c r="F49" s="29"/>
      <c r="G49" s="29"/>
      <c r="H49" s="29"/>
      <c r="I49" s="29"/>
      <c r="J49" s="29"/>
      <c r="K49" s="29"/>
      <c r="L49" s="29"/>
    </row>
    <row r="50" customFormat="false" ht="15" hidden="false" customHeight="true" outlineLevel="0" collapsed="false">
      <c r="C50" s="29" t="s">
        <v>67</v>
      </c>
      <c r="D50" s="29"/>
      <c r="E50" s="29"/>
      <c r="F50" s="29"/>
      <c r="G50" s="29"/>
      <c r="H50" s="29"/>
      <c r="I50" s="29"/>
      <c r="J50" s="29"/>
      <c r="K50" s="29"/>
      <c r="L50" s="29"/>
    </row>
    <row r="51" customFormat="false" ht="15" hidden="false" customHeight="true" outlineLevel="0" collapsed="false">
      <c r="C51" s="29" t="s">
        <v>68</v>
      </c>
      <c r="D51" s="29"/>
      <c r="E51" s="29"/>
      <c r="F51" s="29"/>
      <c r="G51" s="29"/>
      <c r="H51" s="29"/>
      <c r="I51" s="29"/>
      <c r="J51" s="29"/>
      <c r="K51" s="29"/>
      <c r="L51" s="29"/>
    </row>
    <row r="54" customFormat="false" ht="15" hidden="false" customHeight="true" outlineLevel="0" collapsed="false">
      <c r="C54" s="6" t="s">
        <v>69</v>
      </c>
      <c r="D54" s="6"/>
      <c r="E54" s="6"/>
      <c r="F54" s="6"/>
      <c r="G54" s="6"/>
      <c r="H54" s="6"/>
      <c r="I54" s="6"/>
      <c r="J54" s="6"/>
    </row>
    <row r="55" customFormat="false" ht="33.75" hidden="false" customHeight="true" outlineLevel="0" collapsed="false">
      <c r="C55" s="7" t="s">
        <v>37</v>
      </c>
      <c r="D55" s="7" t="s">
        <v>70</v>
      </c>
      <c r="E55" s="7" t="s">
        <v>71</v>
      </c>
      <c r="F55" s="7" t="s">
        <v>72</v>
      </c>
      <c r="G55" s="7" t="s">
        <v>73</v>
      </c>
      <c r="H55" s="7" t="s">
        <v>74</v>
      </c>
      <c r="I55" s="7" t="s">
        <v>75</v>
      </c>
      <c r="J55" s="7" t="s">
        <v>76</v>
      </c>
    </row>
    <row r="56" customFormat="false" ht="27.75" hidden="false" customHeight="true" outlineLevel="0" collapsed="false">
      <c r="C56" s="30" t="str">
        <f aca="false">'Secondments PU'!C12</f>
        <v>Alexander Stulme</v>
      </c>
      <c r="D56" s="30" t="str">
        <f aca="false">'Secondments PU'!D12</f>
        <v>General Manager — PU</v>
      </c>
      <c r="E56" s="30" t="str">
        <f aca="false">'Secondments PU'!E12</f>
        <v>Secondment</v>
      </c>
      <c r="F56" s="30" t="str">
        <f aca="false">'Secondments PU'!F12</f>
        <v>PU</v>
      </c>
      <c r="G56" s="31" t="n">
        <f aca="false">'Secondments PU'!G12</f>
        <v>180000</v>
      </c>
      <c r="H56" s="32" t="n">
        <f aca="false">'Secondments PU'!H12</f>
        <v>15000</v>
      </c>
      <c r="I56" s="32" t="n">
        <f aca="false">'Secondments PU'!I12</f>
        <v>90000</v>
      </c>
      <c r="J56" s="30" t="str">
        <f aca="false">'Secondments PU'!J12</f>
        <v>Incluido en el modelo de 9 posiciones</v>
      </c>
    </row>
    <row r="57" customFormat="false" ht="27.75" hidden="false" customHeight="true" outlineLevel="0" collapsed="false">
      <c r="C57" s="30" t="str">
        <f aca="false">'Secondments PU'!C13</f>
        <v>Alan McKeon</v>
      </c>
      <c r="D57" s="30" t="str">
        <f aca="false">'Secondments PU'!D13</f>
        <v>Technical Manager — PU</v>
      </c>
      <c r="E57" s="30" t="str">
        <f aca="false">'Secondments PU'!E13</f>
        <v>Secondment</v>
      </c>
      <c r="F57" s="30" t="str">
        <f aca="false">'Secondments PU'!F13</f>
        <v>PU</v>
      </c>
      <c r="G57" s="31" t="n">
        <f aca="false">'Secondments PU'!G13</f>
        <v>180000</v>
      </c>
      <c r="H57" s="32" t="n">
        <f aca="false">'Secondments PU'!H13</f>
        <v>15000</v>
      </c>
      <c r="I57" s="32" t="n">
        <f aca="false">'Secondments PU'!I13</f>
        <v>90000</v>
      </c>
      <c r="J57" s="30" t="str">
        <f aca="false">'Secondments PU'!J13</f>
        <v>Incluido en el modelo de 9 posiciones</v>
      </c>
    </row>
    <row r="58" customFormat="false" ht="27.75" hidden="false" customHeight="true" outlineLevel="0" collapsed="false">
      <c r="C58" s="30" t="str">
        <f aca="false">'Secondments PU'!C14</f>
        <v>Martin Aguero</v>
      </c>
      <c r="D58" s="30" t="str">
        <f aca="false">'Secondments PU'!D14</f>
        <v>Infrastructure Manager — PU</v>
      </c>
      <c r="E58" s="30" t="str">
        <f aca="false">'Secondments PU'!E14</f>
        <v>Secondment</v>
      </c>
      <c r="F58" s="30" t="str">
        <f aca="false">'Secondments PU'!F14</f>
        <v>PU</v>
      </c>
      <c r="G58" s="31" t="n">
        <f aca="false">'Secondments PU'!G14</f>
        <v>180000</v>
      </c>
      <c r="H58" s="32" t="n">
        <f aca="false">'Secondments PU'!H14</f>
        <v>15000</v>
      </c>
      <c r="I58" s="32" t="n">
        <f aca="false">'Secondments PU'!I14</f>
        <v>90000</v>
      </c>
      <c r="J58" s="30" t="str">
        <f aca="false">'Secondments PU'!J14</f>
        <v>Costo adicional de PU; separado del paquete de 9 posiciones</v>
      </c>
    </row>
    <row r="59" customFormat="false" ht="24" hidden="false" customHeight="true" outlineLevel="0" collapsed="false">
      <c r="C59" s="33" t="str">
        <f aca="false">'Secondments PU'!C16</f>
        <v>TOTAL CONOCIDO</v>
      </c>
      <c r="D59" s="33" t="n">
        <f aca="false">'Secondments PU'!D16</f>
        <v>0</v>
      </c>
      <c r="E59" s="33" t="n">
        <f aca="false">'Secondments PU'!E16</f>
        <v>0</v>
      </c>
      <c r="F59" s="33" t="n">
        <f aca="false">'Secondments PU'!F16</f>
        <v>0</v>
      </c>
      <c r="G59" s="34" t="n">
        <f aca="false">'Secondments PU'!G16</f>
        <v>540000</v>
      </c>
      <c r="H59" s="35" t="n">
        <f aca="false">'Secondments PU'!H16</f>
        <v>45000</v>
      </c>
      <c r="I59" s="35" t="n">
        <f aca="false">'Secondments PU'!I16</f>
        <v>270000</v>
      </c>
      <c r="J59" s="33" t="str">
        <f aca="false">'Secondments PU'!J16</f>
        <v>Incluye Martin Aguero; no duplicar Alexander y Alan</v>
      </c>
    </row>
  </sheetData>
  <mergeCells count="10">
    <mergeCell ref="C4:L4"/>
    <mergeCell ref="C9:H9"/>
    <mergeCell ref="C21:J21"/>
    <mergeCell ref="C34:I34"/>
    <mergeCell ref="C47:L47"/>
    <mergeCell ref="C48:L48"/>
    <mergeCell ref="C49:L49"/>
    <mergeCell ref="C50:L50"/>
    <mergeCell ref="C51:L51"/>
    <mergeCell ref="C54:J54"/>
  </mergeCells>
  <printOptions headings="tru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firstPageNumber="1" useFirstPageNumber="true" horizontalDpi="300" verticalDpi="300" copies="1"/>
  <headerFooter differentFirst="false" differentOddEven="false">
    <oddHeader/>
    <oddFooter>&amp;CResumen | Página &amp;P de &amp;N</oddFooter>
  </headerFooter>
  <rowBreaks count="1" manualBreakCount="1">
    <brk id="53" man="true" max="16383" min="0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8" ySplit="1" topLeftCell="I11" activePane="bottomRight" state="frozen"/>
      <selection pane="topLeft" activeCell="A1" activeCellId="0" sqref="A1"/>
      <selection pane="topRight" activeCell="I1" activeCellId="0" sqref="I1"/>
      <selection pane="bottomLeft" activeCell="A11" activeCellId="0" sqref="A11"/>
      <selection pane="bottomRigh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2" min="1" style="1" width="20"/>
    <col collapsed="false" customWidth="true" hidden="false" outlineLevel="0" max="3" min="3" style="1" width="12"/>
    <col collapsed="false" customWidth="true" hidden="false" outlineLevel="0" max="4" min="4" style="1" width="34"/>
    <col collapsed="false" customWidth="true" hidden="false" outlineLevel="0" max="5" min="5" style="1" width="23"/>
    <col collapsed="false" customWidth="true" hidden="false" outlineLevel="0" max="6" min="6" style="1" width="20"/>
    <col collapsed="false" customWidth="true" hidden="false" outlineLevel="0" max="7" min="7" style="1" width="14"/>
    <col collapsed="false" customWidth="true" hidden="false" outlineLevel="0" max="8" min="8" style="1" width="12"/>
    <col collapsed="false" customWidth="true" hidden="false" outlineLevel="0" max="11" min="9" style="1" width="15"/>
    <col collapsed="false" customWidth="true" hidden="false" outlineLevel="0" max="12" min="12" style="1" width="14"/>
    <col collapsed="false" customWidth="true" hidden="false" outlineLevel="0" max="14" min="13" style="1" width="13"/>
    <col collapsed="false" customWidth="true" hidden="false" outlineLevel="0" max="17" min="15" style="1" width="12"/>
    <col collapsed="false" customWidth="true" hidden="false" outlineLevel="0" max="18" min="18" style="1" width="19"/>
    <col collapsed="false" customWidth="true" hidden="false" outlineLevel="0" max="20" min="19" style="1" width="14"/>
    <col collapsed="false" customWidth="true" hidden="false" outlineLevel="0" max="21" min="21" style="1" width="18"/>
    <col collapsed="false" customWidth="true" hidden="false" outlineLevel="0" max="22" min="22" style="1" width="12"/>
    <col collapsed="false" customWidth="true" hidden="false" outlineLevel="0" max="23" min="23" style="1" width="15"/>
    <col collapsed="false" customWidth="true" hidden="false" outlineLevel="0" max="24" min="24" style="1" width="14"/>
    <col collapsed="false" customWidth="true" hidden="false" outlineLevel="0" max="25" min="25" style="1" width="12"/>
    <col collapsed="false" customWidth="true" hidden="false" outlineLevel="0" max="26" min="26" style="1" width="15"/>
    <col collapsed="false" customWidth="true" hidden="false" outlineLevel="0" max="28" min="27" style="1" width="12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4" customFormat="false" ht="19.5" hidden="false" customHeight="true" outlineLevel="0" collapsed="false">
      <c r="C4" s="3" t="s">
        <v>77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</row>
    <row r="6" customFormat="false" ht="15" hidden="false" customHeight="true" outlineLevel="0" collapsed="false">
      <c r="C6" s="4" t="s">
        <v>78</v>
      </c>
    </row>
    <row r="7" customFormat="false" ht="15" hidden="false" customHeight="true" outlineLevel="0" collapsed="false">
      <c r="C7" s="5" t="s">
        <v>79</v>
      </c>
    </row>
    <row r="9" customFormat="false" ht="15" hidden="false" customHeight="true" outlineLevel="0" collapsed="false">
      <c r="C9" s="6" t="s">
        <v>36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</row>
    <row r="11" customFormat="false" ht="33.75" hidden="false" customHeight="true" outlineLevel="0" collapsed="false">
      <c r="C11" s="7" t="s">
        <v>80</v>
      </c>
      <c r="D11" s="7" t="s">
        <v>38</v>
      </c>
      <c r="E11" s="7" t="s">
        <v>37</v>
      </c>
      <c r="F11" s="7" t="s">
        <v>81</v>
      </c>
      <c r="G11" s="7" t="s">
        <v>82</v>
      </c>
      <c r="H11" s="7" t="s">
        <v>83</v>
      </c>
      <c r="I11" s="7" t="s">
        <v>84</v>
      </c>
      <c r="J11" s="7" t="s">
        <v>85</v>
      </c>
      <c r="K11" s="7" t="s">
        <v>86</v>
      </c>
      <c r="L11" s="7" t="s">
        <v>87</v>
      </c>
      <c r="M11" s="7" t="s">
        <v>88</v>
      </c>
      <c r="N11" s="7" t="s">
        <v>89</v>
      </c>
      <c r="O11" s="7" t="s">
        <v>90</v>
      </c>
      <c r="P11" s="7" t="s">
        <v>91</v>
      </c>
      <c r="Q11" s="7" t="s">
        <v>92</v>
      </c>
      <c r="R11" s="7" t="s">
        <v>93</v>
      </c>
      <c r="S11" s="7" t="s">
        <v>94</v>
      </c>
      <c r="T11" s="7" t="s">
        <v>95</v>
      </c>
      <c r="U11" s="7" t="s">
        <v>96</v>
      </c>
      <c r="V11" s="7" t="s">
        <v>97</v>
      </c>
      <c r="W11" s="7" t="s">
        <v>98</v>
      </c>
      <c r="X11" s="7" t="s">
        <v>99</v>
      </c>
      <c r="Y11" s="7" t="s">
        <v>100</v>
      </c>
      <c r="Z11" s="7" t="s">
        <v>101</v>
      </c>
      <c r="AA11" s="7" t="s">
        <v>102</v>
      </c>
      <c r="AB11" s="7" t="s">
        <v>103</v>
      </c>
    </row>
    <row r="12" customFormat="false" ht="27.75" hidden="false" customHeight="true" outlineLevel="0" collapsed="false">
      <c r="C12" s="36" t="n">
        <v>1</v>
      </c>
      <c r="D12" s="37" t="s">
        <v>104</v>
      </c>
      <c r="E12" s="37" t="s">
        <v>105</v>
      </c>
      <c r="F12" s="38" t="n">
        <v>360000</v>
      </c>
      <c r="G12" s="39" t="n">
        <v>12000</v>
      </c>
      <c r="H12" s="40" t="s">
        <v>106</v>
      </c>
      <c r="I12" s="41" t="n">
        <f aca="false">F12/12</f>
        <v>30000</v>
      </c>
      <c r="J12" s="42" t="n">
        <f aca="false">G12/12</f>
        <v>1000</v>
      </c>
      <c r="K12" s="43" t="n">
        <f aca="false">SUM(I12:J12)</f>
        <v>31000</v>
      </c>
      <c r="L12" s="43" t="n">
        <f aca="false">K12*6</f>
        <v>186000</v>
      </c>
      <c r="M12" s="40" t="s">
        <v>107</v>
      </c>
      <c r="N12" s="40" t="s">
        <v>108</v>
      </c>
      <c r="O12" s="38" t="n">
        <v>36000</v>
      </c>
      <c r="P12" s="39" t="n">
        <v>12000</v>
      </c>
      <c r="Q12" s="39" t="n">
        <v>20000</v>
      </c>
      <c r="R12" s="39" t="n">
        <v>24000</v>
      </c>
      <c r="S12" s="39" t="n">
        <v>72000</v>
      </c>
      <c r="T12" s="39" t="n">
        <v>0</v>
      </c>
      <c r="U12" s="39" t="n">
        <v>0</v>
      </c>
      <c r="V12" s="36" t="n">
        <v>30</v>
      </c>
      <c r="W12" s="44" t="n">
        <f aca="false">SUM(F12,O12:T12)/12</f>
        <v>43666.6666666667</v>
      </c>
      <c r="X12" s="43" t="n">
        <f aca="false">W12*6</f>
        <v>262000</v>
      </c>
      <c r="Y12" s="43" t="n">
        <f aca="false">L12+X12</f>
        <v>448000</v>
      </c>
      <c r="Z12" s="39" t="n">
        <v>524000</v>
      </c>
      <c r="AA12" s="42" t="n">
        <f aca="false">Z12-Y12</f>
        <v>76000</v>
      </c>
      <c r="AB12" s="43" t="n">
        <f aca="false">SUM(F12,O12:T12)</f>
        <v>524000</v>
      </c>
    </row>
    <row r="13" customFormat="false" ht="27.75" hidden="false" customHeight="true" outlineLevel="0" collapsed="false">
      <c r="C13" s="36" t="n">
        <v>2</v>
      </c>
      <c r="D13" s="37" t="s">
        <v>109</v>
      </c>
      <c r="E13" s="37" t="s">
        <v>110</v>
      </c>
      <c r="F13" s="38" t="n">
        <v>216000</v>
      </c>
      <c r="G13" s="39" t="n">
        <v>12000</v>
      </c>
      <c r="H13" s="40" t="s">
        <v>106</v>
      </c>
      <c r="I13" s="41" t="n">
        <f aca="false">F13/12</f>
        <v>18000</v>
      </c>
      <c r="J13" s="42" t="n">
        <f aca="false">G13/12</f>
        <v>1000</v>
      </c>
      <c r="K13" s="43" t="n">
        <f aca="false">SUM(I13:J13)</f>
        <v>19000</v>
      </c>
      <c r="L13" s="43" t="n">
        <f aca="false">K13*6</f>
        <v>114000</v>
      </c>
      <c r="M13" s="40" t="s">
        <v>111</v>
      </c>
      <c r="N13" s="40" t="s">
        <v>112</v>
      </c>
      <c r="O13" s="38" t="n">
        <v>24000</v>
      </c>
      <c r="P13" s="39" t="n">
        <v>12000</v>
      </c>
      <c r="Q13" s="39" t="n">
        <v>0</v>
      </c>
      <c r="R13" s="39" t="n">
        <v>18000</v>
      </c>
      <c r="S13" s="39" t="n">
        <v>0</v>
      </c>
      <c r="T13" s="39" t="n">
        <v>72000</v>
      </c>
      <c r="U13" s="40" t="s">
        <v>113</v>
      </c>
      <c r="V13" s="36" t="n">
        <v>30</v>
      </c>
      <c r="W13" s="44" t="n">
        <f aca="false">SUM(F13,O13:T13)/12</f>
        <v>28500</v>
      </c>
      <c r="X13" s="43" t="n">
        <f aca="false">W13*6</f>
        <v>171000</v>
      </c>
      <c r="Y13" s="43" t="n">
        <f aca="false">L13+X13</f>
        <v>285000</v>
      </c>
      <c r="Z13" s="39" t="n">
        <v>325200</v>
      </c>
      <c r="AA13" s="42" t="n">
        <f aca="false">Z13-Y13</f>
        <v>40200</v>
      </c>
      <c r="AB13" s="43" t="n">
        <f aca="false">SUM(F13,O13:T13)</f>
        <v>342000</v>
      </c>
    </row>
    <row r="14" customFormat="false" ht="27.75" hidden="false" customHeight="true" outlineLevel="0" collapsed="false">
      <c r="C14" s="36" t="n">
        <v>3</v>
      </c>
      <c r="D14" s="37" t="s">
        <v>114</v>
      </c>
      <c r="E14" s="37" t="s">
        <v>115</v>
      </c>
      <c r="F14" s="38" t="n">
        <v>180000</v>
      </c>
      <c r="G14" s="39" t="n">
        <v>12000</v>
      </c>
      <c r="H14" s="40" t="s">
        <v>106</v>
      </c>
      <c r="I14" s="41" t="n">
        <f aca="false">F14/12</f>
        <v>15000</v>
      </c>
      <c r="J14" s="42" t="n">
        <f aca="false">G14/12</f>
        <v>1000</v>
      </c>
      <c r="K14" s="43" t="n">
        <f aca="false">SUM(I14:J14)</f>
        <v>16000</v>
      </c>
      <c r="L14" s="43" t="n">
        <f aca="false">K14*6</f>
        <v>96000</v>
      </c>
      <c r="M14" s="40" t="s">
        <v>111</v>
      </c>
      <c r="N14" s="40" t="s">
        <v>112</v>
      </c>
      <c r="O14" s="38" t="n">
        <v>0</v>
      </c>
      <c r="P14" s="39" t="n">
        <v>12000</v>
      </c>
      <c r="Q14" s="39" t="n">
        <v>0</v>
      </c>
      <c r="R14" s="39" t="n">
        <v>18000</v>
      </c>
      <c r="S14" s="39" t="n">
        <v>0</v>
      </c>
      <c r="T14" s="39" t="n">
        <v>60000</v>
      </c>
      <c r="U14" s="40" t="s">
        <v>113</v>
      </c>
      <c r="V14" s="36" t="n">
        <v>30</v>
      </c>
      <c r="W14" s="44" t="n">
        <f aca="false">SUM(F14,O14:T14)/12</f>
        <v>22500</v>
      </c>
      <c r="X14" s="43" t="n">
        <f aca="false">W14*6</f>
        <v>135000</v>
      </c>
      <c r="Y14" s="43" t="n">
        <f aca="false">L14+X14</f>
        <v>231000</v>
      </c>
      <c r="Z14" s="39" t="n">
        <v>282000</v>
      </c>
      <c r="AA14" s="42" t="n">
        <f aca="false">Z14-Y14</f>
        <v>51000</v>
      </c>
      <c r="AB14" s="43" t="n">
        <f aca="false">SUM(F14,O14:T14)</f>
        <v>270000</v>
      </c>
    </row>
    <row r="15" customFormat="false" ht="27.75" hidden="false" customHeight="true" outlineLevel="0" collapsed="false">
      <c r="C15" s="36" t="n">
        <v>4</v>
      </c>
      <c r="D15" s="37" t="s">
        <v>116</v>
      </c>
      <c r="E15" s="37" t="s">
        <v>117</v>
      </c>
      <c r="F15" s="38" t="n">
        <v>216000</v>
      </c>
      <c r="G15" s="39" t="n">
        <v>12000</v>
      </c>
      <c r="H15" s="40" t="s">
        <v>106</v>
      </c>
      <c r="I15" s="41" t="n">
        <f aca="false">F15/12</f>
        <v>18000</v>
      </c>
      <c r="J15" s="42" t="n">
        <f aca="false">G15/12</f>
        <v>1000</v>
      </c>
      <c r="K15" s="43" t="n">
        <f aca="false">SUM(I15:J15)</f>
        <v>19000</v>
      </c>
      <c r="L15" s="43" t="n">
        <f aca="false">K15*6</f>
        <v>114000</v>
      </c>
      <c r="M15" s="40" t="s">
        <v>111</v>
      </c>
      <c r="N15" s="40" t="s">
        <v>112</v>
      </c>
      <c r="O15" s="38" t="n">
        <v>24000</v>
      </c>
      <c r="P15" s="39" t="n">
        <v>12000</v>
      </c>
      <c r="Q15" s="39" t="n">
        <v>0</v>
      </c>
      <c r="R15" s="39" t="n">
        <v>18000</v>
      </c>
      <c r="S15" s="39" t="n">
        <v>0</v>
      </c>
      <c r="T15" s="39" t="n">
        <v>72000</v>
      </c>
      <c r="U15" s="40" t="s">
        <v>113</v>
      </c>
      <c r="V15" s="36" t="n">
        <v>30</v>
      </c>
      <c r="W15" s="44" t="n">
        <f aca="false">SUM(F15,O15:T15)/12</f>
        <v>28500</v>
      </c>
      <c r="X15" s="43" t="n">
        <f aca="false">W15*6</f>
        <v>171000</v>
      </c>
      <c r="Y15" s="43" t="n">
        <f aca="false">L15+X15</f>
        <v>285000</v>
      </c>
      <c r="Z15" s="39" t="n">
        <v>325200</v>
      </c>
      <c r="AA15" s="42" t="n">
        <f aca="false">Z15-Y15</f>
        <v>40200</v>
      </c>
      <c r="AB15" s="43" t="n">
        <f aca="false">SUM(F15,O15:T15)</f>
        <v>342000</v>
      </c>
    </row>
    <row r="16" customFormat="false" ht="27.75" hidden="false" customHeight="true" outlineLevel="0" collapsed="false">
      <c r="C16" s="36" t="n">
        <v>5</v>
      </c>
      <c r="D16" s="37" t="s">
        <v>118</v>
      </c>
      <c r="E16" s="37" t="s">
        <v>119</v>
      </c>
      <c r="F16" s="38" t="n">
        <v>180000</v>
      </c>
      <c r="G16" s="39" t="n">
        <v>12000</v>
      </c>
      <c r="H16" s="40" t="s">
        <v>106</v>
      </c>
      <c r="I16" s="41" t="n">
        <f aca="false">F16/12</f>
        <v>15000</v>
      </c>
      <c r="J16" s="42" t="n">
        <f aca="false">G16/12</f>
        <v>1000</v>
      </c>
      <c r="K16" s="43" t="n">
        <f aca="false">SUM(I16:J16)</f>
        <v>16000</v>
      </c>
      <c r="L16" s="43" t="n">
        <f aca="false">K16*6</f>
        <v>96000</v>
      </c>
      <c r="M16" s="40" t="s">
        <v>107</v>
      </c>
      <c r="N16" s="40" t="s">
        <v>112</v>
      </c>
      <c r="O16" s="38" t="n">
        <v>12000</v>
      </c>
      <c r="P16" s="39" t="n">
        <v>12000</v>
      </c>
      <c r="Q16" s="39" t="n">
        <v>12000</v>
      </c>
      <c r="R16" s="39" t="n">
        <v>18000</v>
      </c>
      <c r="S16" s="39" t="n">
        <v>36000</v>
      </c>
      <c r="T16" s="39" t="n">
        <v>0</v>
      </c>
      <c r="U16" s="39" t="n">
        <v>0</v>
      </c>
      <c r="V16" s="36" t="n">
        <v>30</v>
      </c>
      <c r="W16" s="44" t="n">
        <f aca="false">SUM(F16,O16:T16)/12</f>
        <v>22500</v>
      </c>
      <c r="X16" s="43" t="n">
        <f aca="false">W16*6</f>
        <v>135000</v>
      </c>
      <c r="Y16" s="43" t="n">
        <f aca="false">L16+X16</f>
        <v>231000</v>
      </c>
      <c r="Z16" s="39" t="n">
        <v>282000</v>
      </c>
      <c r="AA16" s="42" t="n">
        <f aca="false">Z16-Y16</f>
        <v>51000</v>
      </c>
      <c r="AB16" s="43" t="n">
        <f aca="false">SUM(F16,O16:T16)</f>
        <v>270000</v>
      </c>
    </row>
    <row r="17" customFormat="false" ht="27.75" hidden="false" customHeight="true" outlineLevel="0" collapsed="false">
      <c r="C17" s="36" t="n">
        <v>6</v>
      </c>
      <c r="D17" s="37" t="s">
        <v>120</v>
      </c>
      <c r="E17" s="37" t="s">
        <v>121</v>
      </c>
      <c r="F17" s="38" t="n">
        <v>120000</v>
      </c>
      <c r="G17" s="39" t="n">
        <v>0</v>
      </c>
      <c r="H17" s="40" t="s">
        <v>106</v>
      </c>
      <c r="I17" s="41" t="n">
        <f aca="false">F17/12</f>
        <v>10000</v>
      </c>
      <c r="J17" s="42" t="n">
        <f aca="false">G17/12</f>
        <v>0</v>
      </c>
      <c r="K17" s="43" t="n">
        <f aca="false">SUM(I17:J17)</f>
        <v>10000</v>
      </c>
      <c r="L17" s="43" t="n">
        <f aca="false">K17*6</f>
        <v>60000</v>
      </c>
      <c r="M17" s="40" t="s">
        <v>122</v>
      </c>
      <c r="N17" s="40" t="s">
        <v>123</v>
      </c>
      <c r="O17" s="38" t="n">
        <v>0</v>
      </c>
      <c r="P17" s="39" t="n">
        <v>0</v>
      </c>
      <c r="Q17" s="39" t="n">
        <v>0</v>
      </c>
      <c r="R17" s="39" t="n">
        <v>0</v>
      </c>
      <c r="S17" s="39" t="n">
        <v>0</v>
      </c>
      <c r="T17" s="39" t="n">
        <v>0</v>
      </c>
      <c r="U17" s="39" t="n">
        <v>0</v>
      </c>
      <c r="V17" s="36" t="n">
        <v>30</v>
      </c>
      <c r="W17" s="44" t="n">
        <f aca="false">SUM(F17,O17:T17)/12</f>
        <v>10000</v>
      </c>
      <c r="X17" s="43" t="n">
        <f aca="false">W17*6</f>
        <v>60000</v>
      </c>
      <c r="Y17" s="43" t="n">
        <f aca="false">L17+X17</f>
        <v>120000</v>
      </c>
      <c r="Z17" s="39" t="n">
        <v>194000</v>
      </c>
      <c r="AA17" s="42" t="n">
        <f aca="false">Z17-Y17</f>
        <v>74000</v>
      </c>
      <c r="AB17" s="43" t="n">
        <f aca="false">SUM(F17,O17:T17)</f>
        <v>120000</v>
      </c>
    </row>
    <row r="18" customFormat="false" ht="27.75" hidden="false" customHeight="true" outlineLevel="0" collapsed="false">
      <c r="C18" s="36" t="n">
        <v>7</v>
      </c>
      <c r="D18" s="37" t="s">
        <v>124</v>
      </c>
      <c r="E18" s="37" t="s">
        <v>125</v>
      </c>
      <c r="F18" s="38" t="n">
        <v>180000</v>
      </c>
      <c r="G18" s="39" t="n">
        <v>12000</v>
      </c>
      <c r="H18" s="40" t="s">
        <v>106</v>
      </c>
      <c r="I18" s="41" t="n">
        <f aca="false">F18/12</f>
        <v>15000</v>
      </c>
      <c r="J18" s="42" t="n">
        <f aca="false">G18/12</f>
        <v>1000</v>
      </c>
      <c r="K18" s="43" t="n">
        <f aca="false">SUM(I18:J18)</f>
        <v>16000</v>
      </c>
      <c r="L18" s="43" t="n">
        <f aca="false">K18*6</f>
        <v>96000</v>
      </c>
      <c r="M18" s="40" t="s">
        <v>126</v>
      </c>
      <c r="N18" s="40" t="s">
        <v>108</v>
      </c>
      <c r="O18" s="38" t="n">
        <v>24000</v>
      </c>
      <c r="P18" s="39" t="n">
        <v>12000</v>
      </c>
      <c r="Q18" s="39" t="n">
        <v>12000</v>
      </c>
      <c r="R18" s="39" t="n">
        <v>18000</v>
      </c>
      <c r="S18" s="39" t="n">
        <v>36000</v>
      </c>
      <c r="T18" s="39" t="n">
        <v>0</v>
      </c>
      <c r="U18" s="39" t="n">
        <v>0</v>
      </c>
      <c r="V18" s="36" t="n">
        <v>30</v>
      </c>
      <c r="W18" s="44" t="n">
        <f aca="false">SUM(F18,O18:T18)/12</f>
        <v>23500</v>
      </c>
      <c r="X18" s="43" t="n">
        <f aca="false">W18*6</f>
        <v>141000</v>
      </c>
      <c r="Y18" s="43" t="n">
        <f aca="false">L18+X18</f>
        <v>237000</v>
      </c>
      <c r="Z18" s="39" t="n">
        <v>282000</v>
      </c>
      <c r="AA18" s="42" t="n">
        <f aca="false">Z18-Y18</f>
        <v>45000</v>
      </c>
      <c r="AB18" s="43" t="n">
        <f aca="false">SUM(F18,O18:T18)</f>
        <v>282000</v>
      </c>
    </row>
    <row r="19" customFormat="false" ht="27.75" hidden="false" customHeight="true" outlineLevel="0" collapsed="false">
      <c r="C19" s="36" t="n">
        <v>8</v>
      </c>
      <c r="D19" s="37" t="s">
        <v>127</v>
      </c>
      <c r="E19" s="37" t="s">
        <v>128</v>
      </c>
      <c r="F19" s="38" t="n">
        <v>48000</v>
      </c>
      <c r="G19" s="39" t="n">
        <v>8000</v>
      </c>
      <c r="H19" s="40" t="s">
        <v>106</v>
      </c>
      <c r="I19" s="41" t="n">
        <f aca="false">F19/12</f>
        <v>4000</v>
      </c>
      <c r="J19" s="42" t="n">
        <f aca="false">G19/12</f>
        <v>666.666666666667</v>
      </c>
      <c r="K19" s="43" t="n">
        <f aca="false">SUM(I19:J19)</f>
        <v>4666.66666666667</v>
      </c>
      <c r="L19" s="43" t="n">
        <f aca="false">K19*6</f>
        <v>28000</v>
      </c>
      <c r="M19" s="40" t="s">
        <v>129</v>
      </c>
      <c r="N19" s="40" t="s">
        <v>112</v>
      </c>
      <c r="O19" s="38" t="n">
        <v>0</v>
      </c>
      <c r="P19" s="39" t="n">
        <v>8000</v>
      </c>
      <c r="Q19" s="39" t="n">
        <v>0</v>
      </c>
      <c r="R19" s="39" t="n">
        <v>7200</v>
      </c>
      <c r="S19" s="39" t="n">
        <v>0</v>
      </c>
      <c r="T19" s="39" t="n">
        <v>0</v>
      </c>
      <c r="U19" s="39" t="n">
        <v>0</v>
      </c>
      <c r="V19" s="36" t="n">
        <v>30</v>
      </c>
      <c r="W19" s="44" t="n">
        <f aca="false">SUM(F19,O19:T19)/12</f>
        <v>5266.66666666667</v>
      </c>
      <c r="X19" s="43" t="n">
        <f aca="false">W19*6</f>
        <v>31600</v>
      </c>
      <c r="Y19" s="43" t="n">
        <f aca="false">L19+X19</f>
        <v>59600</v>
      </c>
      <c r="Z19" s="39" t="n">
        <v>87200</v>
      </c>
      <c r="AA19" s="42" t="n">
        <f aca="false">Z19-Y19</f>
        <v>27600</v>
      </c>
      <c r="AB19" s="43" t="n">
        <f aca="false">SUM(F19,O19:T19)</f>
        <v>63200</v>
      </c>
    </row>
    <row r="20" customFormat="false" ht="27.75" hidden="false" customHeight="true" outlineLevel="0" collapsed="false">
      <c r="C20" s="36" t="n">
        <v>9</v>
      </c>
      <c r="D20" s="37" t="s">
        <v>130</v>
      </c>
      <c r="E20" s="37" t="s">
        <v>113</v>
      </c>
      <c r="F20" s="38" t="n">
        <v>48000</v>
      </c>
      <c r="G20" s="39" t="n">
        <v>8000</v>
      </c>
      <c r="H20" s="40" t="s">
        <v>106</v>
      </c>
      <c r="I20" s="41" t="n">
        <f aca="false">F20/12</f>
        <v>4000</v>
      </c>
      <c r="J20" s="42" t="n">
        <f aca="false">G20/12</f>
        <v>666.666666666667</v>
      </c>
      <c r="K20" s="43" t="n">
        <f aca="false">SUM(I20:J20)</f>
        <v>4666.66666666667</v>
      </c>
      <c r="L20" s="43" t="n">
        <f aca="false">K20*6</f>
        <v>28000</v>
      </c>
      <c r="M20" s="40" t="s">
        <v>129</v>
      </c>
      <c r="N20" s="40" t="s">
        <v>112</v>
      </c>
      <c r="O20" s="38" t="n">
        <v>0</v>
      </c>
      <c r="P20" s="39" t="n">
        <v>8000</v>
      </c>
      <c r="Q20" s="39" t="n">
        <v>0</v>
      </c>
      <c r="R20" s="39" t="n">
        <v>7200</v>
      </c>
      <c r="S20" s="39" t="n">
        <v>0</v>
      </c>
      <c r="T20" s="39" t="n">
        <v>0</v>
      </c>
      <c r="U20" s="39" t="n">
        <v>0</v>
      </c>
      <c r="V20" s="36" t="n">
        <v>30</v>
      </c>
      <c r="W20" s="44" t="n">
        <f aca="false">SUM(F20,O20:T20)/12</f>
        <v>5266.66666666667</v>
      </c>
      <c r="X20" s="43" t="n">
        <f aca="false">W20*6</f>
        <v>31600</v>
      </c>
      <c r="Y20" s="43" t="n">
        <f aca="false">L20+X20</f>
        <v>59600</v>
      </c>
      <c r="Z20" s="39" t="n">
        <v>95200</v>
      </c>
      <c r="AA20" s="42" t="n">
        <f aca="false">Z20-Y20</f>
        <v>35600</v>
      </c>
      <c r="AB20" s="43" t="n">
        <f aca="false">SUM(F20,O20:T20)</f>
        <v>63200</v>
      </c>
    </row>
    <row r="21" customFormat="false" ht="24" hidden="false" customHeight="true" outlineLevel="0" collapsed="false">
      <c r="C21" s="45"/>
      <c r="D21" s="46" t="s">
        <v>131</v>
      </c>
      <c r="E21" s="46"/>
      <c r="F21" s="47" t="n">
        <f aca="false">SUM(F12:F20)</f>
        <v>1548000</v>
      </c>
      <c r="G21" s="48" t="n">
        <f aca="false">SUM(G12:G20)</f>
        <v>88000</v>
      </c>
      <c r="H21" s="48" t="n">
        <f aca="false">SUM(H12:H20)</f>
        <v>0</v>
      </c>
      <c r="I21" s="48" t="n">
        <f aca="false">SUM(I12:I20)</f>
        <v>129000</v>
      </c>
      <c r="J21" s="48" t="n">
        <f aca="false">SUM(J12:J20)</f>
        <v>7333.33333333333</v>
      </c>
      <c r="K21" s="48" t="n">
        <f aca="false">SUM(K12:K20)</f>
        <v>136333.333333333</v>
      </c>
      <c r="L21" s="48" t="n">
        <f aca="false">SUM(L12:L20)</f>
        <v>818000</v>
      </c>
      <c r="M21" s="45"/>
      <c r="N21" s="45"/>
      <c r="O21" s="47" t="n">
        <f aca="false">SUM(O12:O20)</f>
        <v>120000</v>
      </c>
      <c r="P21" s="48" t="n">
        <f aca="false">SUM(P12:P20)</f>
        <v>88000</v>
      </c>
      <c r="Q21" s="48" t="n">
        <f aca="false">SUM(Q12:Q20)</f>
        <v>44000</v>
      </c>
      <c r="R21" s="48" t="n">
        <f aca="false">SUM(R12:R20)</f>
        <v>128400</v>
      </c>
      <c r="S21" s="48" t="n">
        <f aca="false">SUM(S12:S20)</f>
        <v>144000</v>
      </c>
      <c r="T21" s="48" t="n">
        <f aca="false">SUM(T12:T20)</f>
        <v>204000</v>
      </c>
      <c r="U21" s="48" t="n">
        <f aca="false">SUM(U12:U20)</f>
        <v>0</v>
      </c>
      <c r="V21" s="48" t="n">
        <f aca="false">SUM(V12:V20)</f>
        <v>270</v>
      </c>
      <c r="W21" s="47" t="n">
        <f aca="false">SUM(W12:W20)</f>
        <v>189700</v>
      </c>
      <c r="X21" s="48" t="n">
        <f aca="false">SUM(X12:X20)</f>
        <v>1138200</v>
      </c>
      <c r="Y21" s="48" t="n">
        <f aca="false">SUM(Y12:Y20)</f>
        <v>1956200</v>
      </c>
      <c r="Z21" s="48" t="n">
        <f aca="false">SUM(Z12:Z20)</f>
        <v>2396800</v>
      </c>
      <c r="AA21" s="48" t="n">
        <f aca="false">SUM(AA12:AA20)</f>
        <v>440600</v>
      </c>
      <c r="AB21" s="48" t="n">
        <f aca="false">SUM(AB12:AB20)</f>
        <v>2276400</v>
      </c>
    </row>
  </sheetData>
  <autoFilter ref="C11:AB20"/>
  <mergeCells count="3">
    <mergeCell ref="C4:AB4"/>
    <mergeCell ref="C9:AB9"/>
    <mergeCell ref="D21:E21"/>
  </mergeCells>
  <dataValidations count="2">
    <dataValidation allowBlank="false" errorStyle="stop" operator="between" showDropDown="false" showErrorMessage="false" showInputMessage="false" sqref="N12:N20" type="list">
      <formula1>"Caracas,Maracaibo,Otro,Remoto,Por definir"</formula1>
      <formula2>0</formula2>
    </dataValidation>
    <dataValidation allowBlank="false" errorStyle="stop" operator="between" showDropDown="false" showErrorMessage="false" showInputMessage="false" sqref="M12:M20" type="list">
      <formula1>"Expatriado,Repatriado,Remote,On rotation,Local,Por definir"</formula1>
      <formula2>0</formula2>
    </dataValidation>
  </dataValidations>
  <printOptions headings="tru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firstPageNumber="1" useFirstPageNumber="true" horizontalDpi="300" verticalDpi="300" copies="1"/>
  <headerFooter differentFirst="false" differentOddEven="false">
    <oddHeader/>
    <oddFooter>&amp;CPersonal | Página &amp;P de &amp;N</oddFooter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2" min="1" style="1" width="20"/>
    <col collapsed="false" customWidth="true" hidden="false" outlineLevel="0" max="3" min="3" style="1" width="18"/>
    <col collapsed="false" customWidth="true" hidden="false" outlineLevel="0" max="4" min="4" style="1" width="30"/>
    <col collapsed="false" customWidth="true" hidden="false" outlineLevel="0" max="5" min="5" style="1" width="13"/>
    <col collapsed="false" customWidth="true" hidden="false" outlineLevel="0" max="6" min="6" style="1" width="14"/>
    <col collapsed="false" customWidth="true" hidden="false" outlineLevel="0" max="7" min="7" style="1" width="20"/>
    <col collapsed="false" customWidth="true" hidden="false" outlineLevel="0" max="8" min="8" style="1" width="16"/>
    <col collapsed="false" customWidth="true" hidden="false" outlineLevel="0" max="9" min="9" style="1" width="12"/>
    <col collapsed="false" customWidth="true" hidden="false" outlineLevel="0" max="10" min="10" style="1" width="35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</row>
    <row r="4" customFormat="false" ht="19.5" hidden="false" customHeight="true" outlineLevel="0" collapsed="false">
      <c r="C4" s="3" t="s">
        <v>132</v>
      </c>
      <c r="D4" s="3"/>
      <c r="E4" s="3"/>
      <c r="F4" s="3"/>
      <c r="G4" s="3"/>
      <c r="H4" s="3"/>
      <c r="I4" s="3"/>
      <c r="J4" s="3"/>
    </row>
    <row r="6" customFormat="false" ht="15" hidden="false" customHeight="true" outlineLevel="0" collapsed="false">
      <c r="C6" s="4" t="s">
        <v>133</v>
      </c>
    </row>
    <row r="7" customFormat="false" ht="15" hidden="false" customHeight="true" outlineLevel="0" collapsed="false">
      <c r="C7" s="5" t="s">
        <v>134</v>
      </c>
    </row>
    <row r="9" customFormat="false" ht="15" hidden="false" customHeight="true" outlineLevel="0" collapsed="false">
      <c r="C9" s="6" t="s">
        <v>135</v>
      </c>
      <c r="D9" s="6"/>
      <c r="E9" s="6"/>
      <c r="F9" s="6"/>
      <c r="G9" s="6"/>
      <c r="H9" s="6"/>
      <c r="I9" s="6"/>
      <c r="J9" s="6"/>
    </row>
    <row r="11" customFormat="false" ht="33.75" hidden="false" customHeight="true" outlineLevel="0" collapsed="false">
      <c r="C11" s="7" t="s">
        <v>37</v>
      </c>
      <c r="D11" s="7" t="s">
        <v>70</v>
      </c>
      <c r="E11" s="7" t="s">
        <v>71</v>
      </c>
      <c r="F11" s="7" t="s">
        <v>72</v>
      </c>
      <c r="G11" s="7" t="s">
        <v>73</v>
      </c>
      <c r="H11" s="7" t="s">
        <v>74</v>
      </c>
      <c r="I11" s="7" t="s">
        <v>75</v>
      </c>
      <c r="J11" s="7" t="s">
        <v>76</v>
      </c>
    </row>
    <row r="12" customFormat="false" ht="27.75" hidden="false" customHeight="true" outlineLevel="0" collapsed="false">
      <c r="C12" s="49" t="s">
        <v>115</v>
      </c>
      <c r="D12" s="49" t="s">
        <v>136</v>
      </c>
      <c r="E12" s="50" t="s">
        <v>137</v>
      </c>
      <c r="F12" s="50" t="s">
        <v>138</v>
      </c>
      <c r="G12" s="9" t="n">
        <f aca="false">Personal!F14</f>
        <v>180000</v>
      </c>
      <c r="H12" s="51" t="n">
        <f aca="false">G12/12</f>
        <v>15000</v>
      </c>
      <c r="I12" s="51" t="n">
        <f aca="false">H12*6</f>
        <v>90000</v>
      </c>
      <c r="J12" s="10" t="s">
        <v>139</v>
      </c>
    </row>
    <row r="13" customFormat="false" ht="27.75" hidden="false" customHeight="true" outlineLevel="0" collapsed="false">
      <c r="C13" s="52" t="s">
        <v>119</v>
      </c>
      <c r="D13" s="52" t="s">
        <v>140</v>
      </c>
      <c r="E13" s="53" t="s">
        <v>137</v>
      </c>
      <c r="F13" s="53" t="s">
        <v>138</v>
      </c>
      <c r="G13" s="15" t="n">
        <f aca="false">Personal!F16</f>
        <v>180000</v>
      </c>
      <c r="H13" s="54" t="n">
        <f aca="false">G13/12</f>
        <v>15000</v>
      </c>
      <c r="I13" s="54" t="n">
        <f aca="false">H13*6</f>
        <v>90000</v>
      </c>
      <c r="J13" s="13" t="s">
        <v>139</v>
      </c>
    </row>
    <row r="14" customFormat="false" ht="27.75" hidden="false" customHeight="true" outlineLevel="0" collapsed="false">
      <c r="C14" s="55" t="s">
        <v>141</v>
      </c>
      <c r="D14" s="55" t="s">
        <v>142</v>
      </c>
      <c r="E14" s="56" t="s">
        <v>137</v>
      </c>
      <c r="F14" s="56" t="s">
        <v>138</v>
      </c>
      <c r="G14" s="56" t="n">
        <v>180000</v>
      </c>
      <c r="H14" s="57" t="n">
        <f aca="false">G14/12</f>
        <v>15000</v>
      </c>
      <c r="I14" s="57" t="n">
        <f aca="false">H14*6</f>
        <v>90000</v>
      </c>
      <c r="J14" s="18" t="s">
        <v>143</v>
      </c>
    </row>
    <row r="16" customFormat="false" ht="15" hidden="false" customHeight="true" outlineLevel="0" collapsed="false">
      <c r="C16" s="46" t="s">
        <v>144</v>
      </c>
      <c r="D16" s="46"/>
      <c r="E16" s="46"/>
      <c r="F16" s="46"/>
      <c r="G16" s="47" t="n">
        <f aca="false">SUM(G12:G14)</f>
        <v>540000</v>
      </c>
      <c r="H16" s="48" t="n">
        <f aca="false">SUM(H12:H14)</f>
        <v>45000</v>
      </c>
      <c r="I16" s="48" t="n">
        <f aca="false">SUM(I12:I14)</f>
        <v>270000</v>
      </c>
      <c r="J16" s="58" t="s">
        <v>145</v>
      </c>
    </row>
    <row r="19" customFormat="false" ht="15" hidden="false" customHeight="true" outlineLevel="0" collapsed="false">
      <c r="C19" s="6" t="s">
        <v>146</v>
      </c>
      <c r="D19" s="6"/>
      <c r="E19" s="6"/>
      <c r="F19" s="6"/>
      <c r="G19" s="6"/>
      <c r="H19" s="6"/>
      <c r="I19" s="6"/>
      <c r="J19" s="6"/>
    </row>
    <row r="20" customFormat="false" ht="24.75" hidden="false" customHeight="true" outlineLevel="0" collapsed="false">
      <c r="C20" s="29" t="s">
        <v>147</v>
      </c>
      <c r="D20" s="29"/>
      <c r="E20" s="29"/>
      <c r="F20" s="29"/>
      <c r="G20" s="29"/>
      <c r="H20" s="29"/>
      <c r="I20" s="29"/>
      <c r="J20" s="29"/>
    </row>
    <row r="21" customFormat="false" ht="24.75" hidden="false" customHeight="true" outlineLevel="0" collapsed="false">
      <c r="C21" s="29" t="s">
        <v>148</v>
      </c>
      <c r="D21" s="29"/>
      <c r="E21" s="29"/>
      <c r="F21" s="29"/>
      <c r="G21" s="29"/>
      <c r="H21" s="29"/>
      <c r="I21" s="29"/>
      <c r="J21" s="29"/>
    </row>
    <row r="22" customFormat="false" ht="24.75" hidden="false" customHeight="true" outlineLevel="0" collapsed="false">
      <c r="C22" s="29" t="s">
        <v>149</v>
      </c>
      <c r="D22" s="29"/>
      <c r="E22" s="29"/>
      <c r="F22" s="29"/>
      <c r="G22" s="29"/>
      <c r="H22" s="29"/>
      <c r="I22" s="29"/>
      <c r="J22" s="29"/>
    </row>
  </sheetData>
  <mergeCells count="7">
    <mergeCell ref="C4:J4"/>
    <mergeCell ref="C9:J9"/>
    <mergeCell ref="C16:F16"/>
    <mergeCell ref="C19:J19"/>
    <mergeCell ref="C20:J20"/>
    <mergeCell ref="C21:J21"/>
    <mergeCell ref="C22:J22"/>
  </mergeCells>
  <printOptions headings="true" gridLines="false" gridLinesSet="true" horizontalCentered="false" verticalCentered="false"/>
  <pageMargins left="0.75" right="0.75" top="1" bottom="1" header="0.511811023622047" footer="0.5"/>
  <pageSetup paperSize="1" scale="100" fitToWidth="1" fitToHeight="1" pageOrder="downThenOver" orientation="landscape" blackAndWhite="false" draft="false" cellComments="none" firstPageNumber="1" useFirstPageNumber="true" horizontalDpi="300" verticalDpi="300" copies="1"/>
  <headerFooter differentFirst="false" differentOddEven="false">
    <oddHeader/>
    <oddFooter>&amp;CSecondments PU | Página &amp;P de &amp;N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11" activePane="bottomRight" state="frozen"/>
      <selection pane="topLeft" activeCell="A1" activeCellId="0" sqref="A1"/>
      <selection pane="topRight" activeCell="E1" activeCellId="0" sqref="E1"/>
      <selection pane="bottomLeft" activeCell="A11" activeCellId="0" sqref="A11"/>
      <selection pane="bottomRigh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2" min="1" style="1" width="20"/>
    <col collapsed="false" customWidth="true" hidden="false" outlineLevel="0" max="3" min="3" style="1" width="24"/>
    <col collapsed="false" customWidth="true" hidden="false" outlineLevel="0" max="4" min="4" style="1" width="13"/>
    <col collapsed="false" customWidth="true" hidden="false" outlineLevel="0" max="17" min="5" style="1" width="12"/>
    <col collapsed="false" customWidth="true" hidden="false" outlineLevel="0" max="19" min="18" style="1" width="24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4" customFormat="false" ht="19.5" hidden="false" customHeight="true" outlineLevel="0" collapsed="false">
      <c r="C4" s="3" t="s">
        <v>150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</row>
    <row r="6" customFormat="false" ht="15" hidden="false" customHeight="true" outlineLevel="0" collapsed="false">
      <c r="C6" s="4" t="s">
        <v>151</v>
      </c>
    </row>
    <row r="7" customFormat="false" ht="15" hidden="false" customHeight="true" outlineLevel="0" collapsed="false">
      <c r="C7" s="5" t="s">
        <v>152</v>
      </c>
    </row>
    <row r="9" customFormat="false" ht="15" hidden="false" customHeight="true" outlineLevel="0" collapsed="false">
      <c r="C9" s="6" t="s">
        <v>153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</row>
    <row r="11" customFormat="false" ht="33.75" hidden="false" customHeight="true" outlineLevel="0" collapsed="false">
      <c r="C11" s="7" t="s">
        <v>37</v>
      </c>
      <c r="D11" s="7" t="s">
        <v>41</v>
      </c>
      <c r="E11" s="59" t="s">
        <v>154</v>
      </c>
      <c r="F11" s="59" t="s">
        <v>155</v>
      </c>
      <c r="G11" s="59" t="s">
        <v>156</v>
      </c>
      <c r="H11" s="59" t="s">
        <v>157</v>
      </c>
      <c r="I11" s="59" t="s">
        <v>158</v>
      </c>
      <c r="J11" s="59" t="s">
        <v>159</v>
      </c>
      <c r="K11" s="59" t="s">
        <v>160</v>
      </c>
      <c r="L11" s="59" t="s">
        <v>161</v>
      </c>
      <c r="M11" s="59" t="s">
        <v>162</v>
      </c>
      <c r="N11" s="59" t="s">
        <v>163</v>
      </c>
      <c r="O11" s="59" t="s">
        <v>164</v>
      </c>
      <c r="P11" s="59" t="s">
        <v>165</v>
      </c>
      <c r="Q11" s="60" t="s">
        <v>44</v>
      </c>
      <c r="R11" s="60" t="s">
        <v>166</v>
      </c>
      <c r="S11" s="7" t="s">
        <v>167</v>
      </c>
    </row>
    <row r="12" customFormat="false" ht="24.75" hidden="false" customHeight="true" outlineLevel="0" collapsed="false">
      <c r="C12" s="61" t="str">
        <f aca="false">Personal!E12</f>
        <v>Martin del Castillo</v>
      </c>
      <c r="D12" s="61" t="str">
        <f aca="false">Personal!M12</f>
        <v>Expatriado</v>
      </c>
      <c r="E12" s="31" t="n">
        <f aca="false">Personal!K12</f>
        <v>31000</v>
      </c>
      <c r="F12" s="32" t="n">
        <f aca="false">Personal!K12</f>
        <v>31000</v>
      </c>
      <c r="G12" s="32" t="n">
        <f aca="false">Personal!K12</f>
        <v>31000</v>
      </c>
      <c r="H12" s="32" t="n">
        <f aca="false">Personal!K12</f>
        <v>31000</v>
      </c>
      <c r="I12" s="32" t="n">
        <f aca="false">Personal!K12</f>
        <v>31000</v>
      </c>
      <c r="J12" s="32" t="n">
        <f aca="false">Personal!K12</f>
        <v>31000</v>
      </c>
      <c r="K12" s="32" t="n">
        <f aca="false">Personal!W12</f>
        <v>43666.6666666667</v>
      </c>
      <c r="L12" s="32" t="n">
        <f aca="false">Personal!W12</f>
        <v>43666.6666666667</v>
      </c>
      <c r="M12" s="32" t="n">
        <f aca="false">Personal!W12</f>
        <v>43666.6666666667</v>
      </c>
      <c r="N12" s="32" t="n">
        <f aca="false">Personal!W12</f>
        <v>43666.6666666667</v>
      </c>
      <c r="O12" s="32" t="n">
        <f aca="false">Personal!W12</f>
        <v>43666.6666666667</v>
      </c>
      <c r="P12" s="32" t="n">
        <f aca="false">Personal!W12</f>
        <v>43666.6666666667</v>
      </c>
      <c r="Q12" s="43" t="n">
        <f aca="false">SUM(E12:P12)</f>
        <v>448000</v>
      </c>
      <c r="R12" s="42" t="n">
        <f aca="false">K12-J12</f>
        <v>12666.6666666667</v>
      </c>
      <c r="S12" s="62" t="str">
        <f aca="false">IF(OR(D12="Expatriado",D12="On rotation"),"Empresa cubre impuesto",IF(OR(D12="Repatriado",D12="Local"),"Empleado asume impuesto",IF(D12="Remote","Sin beneficio fiscal","Definir")))</f>
        <v>Empresa cubre impuesto</v>
      </c>
    </row>
    <row r="13" customFormat="false" ht="24.75" hidden="false" customHeight="true" outlineLevel="0" collapsed="false">
      <c r="C13" s="61" t="str">
        <f aca="false">Personal!E13</f>
        <v>Juan Conde</v>
      </c>
      <c r="D13" s="61" t="str">
        <f aca="false">Personal!M13</f>
        <v>Repatriado</v>
      </c>
      <c r="E13" s="31" t="n">
        <f aca="false">Personal!K13</f>
        <v>19000</v>
      </c>
      <c r="F13" s="32" t="n">
        <f aca="false">Personal!K13</f>
        <v>19000</v>
      </c>
      <c r="G13" s="32" t="n">
        <f aca="false">Personal!K13</f>
        <v>19000</v>
      </c>
      <c r="H13" s="32" t="n">
        <f aca="false">Personal!K13</f>
        <v>19000</v>
      </c>
      <c r="I13" s="32" t="n">
        <f aca="false">Personal!K13</f>
        <v>19000</v>
      </c>
      <c r="J13" s="32" t="n">
        <f aca="false">Personal!K13</f>
        <v>19000</v>
      </c>
      <c r="K13" s="32" t="n">
        <f aca="false">Personal!W13</f>
        <v>28500</v>
      </c>
      <c r="L13" s="32" t="n">
        <f aca="false">Personal!W13</f>
        <v>28500</v>
      </c>
      <c r="M13" s="32" t="n">
        <f aca="false">Personal!W13</f>
        <v>28500</v>
      </c>
      <c r="N13" s="32" t="n">
        <f aca="false">Personal!W13</f>
        <v>28500</v>
      </c>
      <c r="O13" s="32" t="n">
        <f aca="false">Personal!W13</f>
        <v>28500</v>
      </c>
      <c r="P13" s="32" t="n">
        <f aca="false">Personal!W13</f>
        <v>28500</v>
      </c>
      <c r="Q13" s="43" t="n">
        <f aca="false">SUM(E13:P13)</f>
        <v>285000</v>
      </c>
      <c r="R13" s="42" t="n">
        <f aca="false">K13-J13</f>
        <v>9500</v>
      </c>
      <c r="S13" s="62" t="str">
        <f aca="false">IF(OR(D13="Expatriado",D13="On rotation"),"Empresa cubre impuesto",IF(OR(D13="Repatriado",D13="Local"),"Empleado asume impuesto",IF(D13="Remote","Sin beneficio fiscal","Definir")))</f>
        <v>Empleado asume impuesto</v>
      </c>
    </row>
    <row r="14" customFormat="false" ht="24.75" hidden="false" customHeight="true" outlineLevel="0" collapsed="false">
      <c r="C14" s="61" t="str">
        <f aca="false">Personal!E14</f>
        <v>Alexander Stulme</v>
      </c>
      <c r="D14" s="61" t="str">
        <f aca="false">Personal!M14</f>
        <v>Repatriado</v>
      </c>
      <c r="E14" s="31" t="n">
        <f aca="false">Personal!K14</f>
        <v>16000</v>
      </c>
      <c r="F14" s="32" t="n">
        <f aca="false">Personal!K14</f>
        <v>16000</v>
      </c>
      <c r="G14" s="32" t="n">
        <f aca="false">Personal!K14</f>
        <v>16000</v>
      </c>
      <c r="H14" s="32" t="n">
        <f aca="false">Personal!K14</f>
        <v>16000</v>
      </c>
      <c r="I14" s="32" t="n">
        <f aca="false">Personal!K14</f>
        <v>16000</v>
      </c>
      <c r="J14" s="32" t="n">
        <f aca="false">Personal!K14</f>
        <v>16000</v>
      </c>
      <c r="K14" s="32" t="n">
        <f aca="false">Personal!W14</f>
        <v>22500</v>
      </c>
      <c r="L14" s="32" t="n">
        <f aca="false">Personal!W14</f>
        <v>22500</v>
      </c>
      <c r="M14" s="32" t="n">
        <f aca="false">Personal!W14</f>
        <v>22500</v>
      </c>
      <c r="N14" s="32" t="n">
        <f aca="false">Personal!W14</f>
        <v>22500</v>
      </c>
      <c r="O14" s="32" t="n">
        <f aca="false">Personal!W14</f>
        <v>22500</v>
      </c>
      <c r="P14" s="32" t="n">
        <f aca="false">Personal!W14</f>
        <v>22500</v>
      </c>
      <c r="Q14" s="43" t="n">
        <f aca="false">SUM(E14:P14)</f>
        <v>231000</v>
      </c>
      <c r="R14" s="42" t="n">
        <f aca="false">K14-J14</f>
        <v>6500</v>
      </c>
      <c r="S14" s="62" t="str">
        <f aca="false">IF(OR(D14="Expatriado",D14="On rotation"),"Empresa cubre impuesto",IF(OR(D14="Repatriado",D14="Local"),"Empleado asume impuesto",IF(D14="Remote","Sin beneficio fiscal","Definir")))</f>
        <v>Empleado asume impuesto</v>
      </c>
    </row>
    <row r="15" customFormat="false" ht="24.75" hidden="false" customHeight="true" outlineLevel="0" collapsed="false">
      <c r="C15" s="61" t="str">
        <f aca="false">Personal!E15</f>
        <v>Félix Valderrama</v>
      </c>
      <c r="D15" s="61" t="str">
        <f aca="false">Personal!M15</f>
        <v>Repatriado</v>
      </c>
      <c r="E15" s="31" t="n">
        <f aca="false">Personal!K15</f>
        <v>19000</v>
      </c>
      <c r="F15" s="32" t="n">
        <f aca="false">Personal!K15</f>
        <v>19000</v>
      </c>
      <c r="G15" s="32" t="n">
        <f aca="false">Personal!K15</f>
        <v>19000</v>
      </c>
      <c r="H15" s="32" t="n">
        <f aca="false">Personal!K15</f>
        <v>19000</v>
      </c>
      <c r="I15" s="32" t="n">
        <f aca="false">Personal!K15</f>
        <v>19000</v>
      </c>
      <c r="J15" s="32" t="n">
        <f aca="false">Personal!K15</f>
        <v>19000</v>
      </c>
      <c r="K15" s="32" t="n">
        <f aca="false">Personal!W15</f>
        <v>28500</v>
      </c>
      <c r="L15" s="32" t="n">
        <f aca="false">Personal!W15</f>
        <v>28500</v>
      </c>
      <c r="M15" s="32" t="n">
        <f aca="false">Personal!W15</f>
        <v>28500</v>
      </c>
      <c r="N15" s="32" t="n">
        <f aca="false">Personal!W15</f>
        <v>28500</v>
      </c>
      <c r="O15" s="32" t="n">
        <f aca="false">Personal!W15</f>
        <v>28500</v>
      </c>
      <c r="P15" s="32" t="n">
        <f aca="false">Personal!W15</f>
        <v>28500</v>
      </c>
      <c r="Q15" s="43" t="n">
        <f aca="false">SUM(E15:P15)</f>
        <v>285000</v>
      </c>
      <c r="R15" s="42" t="n">
        <f aca="false">K15-J15</f>
        <v>9500</v>
      </c>
      <c r="S15" s="62" t="str">
        <f aca="false">IF(OR(D15="Expatriado",D15="On rotation"),"Empresa cubre impuesto",IF(OR(D15="Repatriado",D15="Local"),"Empleado asume impuesto",IF(D15="Remote","Sin beneficio fiscal","Definir")))</f>
        <v>Empleado asume impuesto</v>
      </c>
    </row>
    <row r="16" customFormat="false" ht="24.75" hidden="false" customHeight="true" outlineLevel="0" collapsed="false">
      <c r="C16" s="61" t="str">
        <f aca="false">Personal!E16</f>
        <v>Alan McKeon</v>
      </c>
      <c r="D16" s="61" t="str">
        <f aca="false">Personal!M16</f>
        <v>Expatriado</v>
      </c>
      <c r="E16" s="31" t="n">
        <f aca="false">Personal!K16</f>
        <v>16000</v>
      </c>
      <c r="F16" s="32" t="n">
        <f aca="false">Personal!K16</f>
        <v>16000</v>
      </c>
      <c r="G16" s="32" t="n">
        <f aca="false">Personal!K16</f>
        <v>16000</v>
      </c>
      <c r="H16" s="32" t="n">
        <f aca="false">Personal!K16</f>
        <v>16000</v>
      </c>
      <c r="I16" s="32" t="n">
        <f aca="false">Personal!K16</f>
        <v>16000</v>
      </c>
      <c r="J16" s="32" t="n">
        <f aca="false">Personal!K16</f>
        <v>16000</v>
      </c>
      <c r="K16" s="32" t="n">
        <f aca="false">Personal!W16</f>
        <v>22500</v>
      </c>
      <c r="L16" s="32" t="n">
        <f aca="false">Personal!W16</f>
        <v>22500</v>
      </c>
      <c r="M16" s="32" t="n">
        <f aca="false">Personal!W16</f>
        <v>22500</v>
      </c>
      <c r="N16" s="32" t="n">
        <f aca="false">Personal!W16</f>
        <v>22500</v>
      </c>
      <c r="O16" s="32" t="n">
        <f aca="false">Personal!W16</f>
        <v>22500</v>
      </c>
      <c r="P16" s="32" t="n">
        <f aca="false">Personal!W16</f>
        <v>22500</v>
      </c>
      <c r="Q16" s="43" t="n">
        <f aca="false">SUM(E16:P16)</f>
        <v>231000</v>
      </c>
      <c r="R16" s="42" t="n">
        <f aca="false">K16-J16</f>
        <v>6500</v>
      </c>
      <c r="S16" s="62" t="str">
        <f aca="false">IF(OR(D16="Expatriado",D16="On rotation"),"Empresa cubre impuesto",IF(OR(D16="Repatriado",D16="Local"),"Empleado asume impuesto",IF(D16="Remote","Sin beneficio fiscal","Definir")))</f>
        <v>Empresa cubre impuesto</v>
      </c>
    </row>
    <row r="17" customFormat="false" ht="24.75" hidden="false" customHeight="true" outlineLevel="0" collapsed="false">
      <c r="C17" s="61" t="str">
        <f aca="false">Personal!E17</f>
        <v>JJI</v>
      </c>
      <c r="D17" s="61" t="str">
        <f aca="false">Personal!M17</f>
        <v>Remote</v>
      </c>
      <c r="E17" s="31" t="n">
        <f aca="false">Personal!K17</f>
        <v>10000</v>
      </c>
      <c r="F17" s="32" t="n">
        <f aca="false">Personal!K17</f>
        <v>10000</v>
      </c>
      <c r="G17" s="32" t="n">
        <f aca="false">Personal!K17</f>
        <v>10000</v>
      </c>
      <c r="H17" s="32" t="n">
        <f aca="false">Personal!K17</f>
        <v>10000</v>
      </c>
      <c r="I17" s="32" t="n">
        <f aca="false">Personal!K17</f>
        <v>10000</v>
      </c>
      <c r="J17" s="32" t="n">
        <f aca="false">Personal!K17</f>
        <v>10000</v>
      </c>
      <c r="K17" s="32" t="n">
        <f aca="false">Personal!W17</f>
        <v>10000</v>
      </c>
      <c r="L17" s="32" t="n">
        <f aca="false">Personal!W17</f>
        <v>10000</v>
      </c>
      <c r="M17" s="32" t="n">
        <f aca="false">Personal!W17</f>
        <v>10000</v>
      </c>
      <c r="N17" s="32" t="n">
        <f aca="false">Personal!W17</f>
        <v>10000</v>
      </c>
      <c r="O17" s="32" t="n">
        <f aca="false">Personal!W17</f>
        <v>10000</v>
      </c>
      <c r="P17" s="32" t="n">
        <f aca="false">Personal!W17</f>
        <v>10000</v>
      </c>
      <c r="Q17" s="43" t="n">
        <f aca="false">SUM(E17:P17)</f>
        <v>120000</v>
      </c>
      <c r="R17" s="42" t="n">
        <f aca="false">K17-J17</f>
        <v>0</v>
      </c>
      <c r="S17" s="62" t="str">
        <f aca="false">IF(OR(D17="Expatriado",D17="On rotation"),"Empresa cubre impuesto",IF(OR(D17="Repatriado",D17="Local"),"Empleado asume impuesto",IF(D17="Remote","Sin beneficio fiscal","Definir")))</f>
        <v>Sin beneficio fiscal</v>
      </c>
    </row>
    <row r="18" customFormat="false" ht="24.75" hidden="false" customHeight="true" outlineLevel="0" collapsed="false">
      <c r="C18" s="61" t="str">
        <f aca="false">Personal!E18</f>
        <v>Marcelo Dantas</v>
      </c>
      <c r="D18" s="61" t="str">
        <f aca="false">Personal!M18</f>
        <v>On rotation</v>
      </c>
      <c r="E18" s="31" t="n">
        <f aca="false">Personal!K18</f>
        <v>16000</v>
      </c>
      <c r="F18" s="32" t="n">
        <f aca="false">Personal!K18</f>
        <v>16000</v>
      </c>
      <c r="G18" s="32" t="n">
        <f aca="false">Personal!K18</f>
        <v>16000</v>
      </c>
      <c r="H18" s="32" t="n">
        <f aca="false">Personal!K18</f>
        <v>16000</v>
      </c>
      <c r="I18" s="32" t="n">
        <f aca="false">Personal!K18</f>
        <v>16000</v>
      </c>
      <c r="J18" s="32" t="n">
        <f aca="false">Personal!K18</f>
        <v>16000</v>
      </c>
      <c r="K18" s="32" t="n">
        <f aca="false">Personal!W18</f>
        <v>23500</v>
      </c>
      <c r="L18" s="32" t="n">
        <f aca="false">Personal!W18</f>
        <v>23500</v>
      </c>
      <c r="M18" s="32" t="n">
        <f aca="false">Personal!W18</f>
        <v>23500</v>
      </c>
      <c r="N18" s="32" t="n">
        <f aca="false">Personal!W18</f>
        <v>23500</v>
      </c>
      <c r="O18" s="32" t="n">
        <f aca="false">Personal!W18</f>
        <v>23500</v>
      </c>
      <c r="P18" s="32" t="n">
        <f aca="false">Personal!W18</f>
        <v>23500</v>
      </c>
      <c r="Q18" s="43" t="n">
        <f aca="false">SUM(E18:P18)</f>
        <v>237000</v>
      </c>
      <c r="R18" s="42" t="n">
        <f aca="false">K18-J18</f>
        <v>7500</v>
      </c>
      <c r="S18" s="62" t="str">
        <f aca="false">IF(OR(D18="Expatriado",D18="On rotation"),"Empresa cubre impuesto",IF(OR(D18="Repatriado",D18="Local"),"Empleado asume impuesto",IF(D18="Remote","Sin beneficio fiscal","Definir")))</f>
        <v>Empresa cubre impuesto</v>
      </c>
    </row>
    <row r="19" customFormat="false" ht="24.75" hidden="false" customHeight="true" outlineLevel="0" collapsed="false">
      <c r="C19" s="61" t="str">
        <f aca="false">Personal!E19</f>
        <v>Jose Miguel</v>
      </c>
      <c r="D19" s="61" t="str">
        <f aca="false">Personal!M19</f>
        <v>Local</v>
      </c>
      <c r="E19" s="31" t="n">
        <f aca="false">Personal!K19</f>
        <v>4666.66666666667</v>
      </c>
      <c r="F19" s="32" t="n">
        <f aca="false">Personal!K19</f>
        <v>4666.66666666667</v>
      </c>
      <c r="G19" s="32" t="n">
        <f aca="false">Personal!K19</f>
        <v>4666.66666666667</v>
      </c>
      <c r="H19" s="32" t="n">
        <f aca="false">Personal!K19</f>
        <v>4666.66666666667</v>
      </c>
      <c r="I19" s="32" t="n">
        <f aca="false">Personal!K19</f>
        <v>4666.66666666667</v>
      </c>
      <c r="J19" s="32" t="n">
        <f aca="false">Personal!K19</f>
        <v>4666.66666666667</v>
      </c>
      <c r="K19" s="32" t="n">
        <f aca="false">Personal!W19</f>
        <v>5266.66666666667</v>
      </c>
      <c r="L19" s="32" t="n">
        <f aca="false">Personal!W19</f>
        <v>5266.66666666667</v>
      </c>
      <c r="M19" s="32" t="n">
        <f aca="false">Personal!W19</f>
        <v>5266.66666666667</v>
      </c>
      <c r="N19" s="32" t="n">
        <f aca="false">Personal!W19</f>
        <v>5266.66666666667</v>
      </c>
      <c r="O19" s="32" t="n">
        <f aca="false">Personal!W19</f>
        <v>5266.66666666667</v>
      </c>
      <c r="P19" s="32" t="n">
        <f aca="false">Personal!W19</f>
        <v>5266.66666666667</v>
      </c>
      <c r="Q19" s="43" t="n">
        <f aca="false">SUM(E19:P19)</f>
        <v>59600</v>
      </c>
      <c r="R19" s="42" t="n">
        <f aca="false">K19-J19</f>
        <v>600</v>
      </c>
      <c r="S19" s="62" t="str">
        <f aca="false">IF(OR(D19="Expatriado",D19="On rotation"),"Empresa cubre impuesto",IF(OR(D19="Repatriado",D19="Local"),"Empleado asume impuesto",IF(D19="Remote","Sin beneficio fiscal","Definir")))</f>
        <v>Empleado asume impuesto</v>
      </c>
    </row>
    <row r="20" customFormat="false" ht="24.75" hidden="false" customHeight="true" outlineLevel="0" collapsed="false">
      <c r="C20" s="61" t="str">
        <f aca="false">Personal!E20</f>
        <v>TBD</v>
      </c>
      <c r="D20" s="61" t="str">
        <f aca="false">Personal!M20</f>
        <v>Local</v>
      </c>
      <c r="E20" s="31" t="n">
        <f aca="false">Personal!K20</f>
        <v>4666.66666666667</v>
      </c>
      <c r="F20" s="32" t="n">
        <f aca="false">Personal!K20</f>
        <v>4666.66666666667</v>
      </c>
      <c r="G20" s="32" t="n">
        <f aca="false">Personal!K20</f>
        <v>4666.66666666667</v>
      </c>
      <c r="H20" s="32" t="n">
        <f aca="false">Personal!K20</f>
        <v>4666.66666666667</v>
      </c>
      <c r="I20" s="32" t="n">
        <f aca="false">Personal!K20</f>
        <v>4666.66666666667</v>
      </c>
      <c r="J20" s="32" t="n">
        <f aca="false">Personal!K20</f>
        <v>4666.66666666667</v>
      </c>
      <c r="K20" s="32" t="n">
        <f aca="false">Personal!W20</f>
        <v>5266.66666666667</v>
      </c>
      <c r="L20" s="32" t="n">
        <f aca="false">Personal!W20</f>
        <v>5266.66666666667</v>
      </c>
      <c r="M20" s="32" t="n">
        <f aca="false">Personal!W20</f>
        <v>5266.66666666667</v>
      </c>
      <c r="N20" s="32" t="n">
        <f aca="false">Personal!W20</f>
        <v>5266.66666666667</v>
      </c>
      <c r="O20" s="32" t="n">
        <f aca="false">Personal!W20</f>
        <v>5266.66666666667</v>
      </c>
      <c r="P20" s="32" t="n">
        <f aca="false">Personal!W20</f>
        <v>5266.66666666667</v>
      </c>
      <c r="Q20" s="43" t="n">
        <f aca="false">SUM(E20:P20)</f>
        <v>59600</v>
      </c>
      <c r="R20" s="42" t="n">
        <f aca="false">K20-J20</f>
        <v>600</v>
      </c>
      <c r="S20" s="62" t="str">
        <f aca="false">IF(OR(D20="Expatriado",D20="On rotation"),"Empresa cubre impuesto",IF(OR(D20="Repatriado",D20="Local"),"Empleado asume impuesto",IF(D20="Remote","Sin beneficio fiscal","Definir")))</f>
        <v>Empleado asume impuesto</v>
      </c>
    </row>
    <row r="21" customFormat="false" ht="15" hidden="false" customHeight="true" outlineLevel="0" collapsed="false">
      <c r="C21" s="46" t="s">
        <v>131</v>
      </c>
      <c r="D21" s="46"/>
      <c r="E21" s="47" t="n">
        <f aca="false">SUM(E12:E20)</f>
        <v>136333.333333333</v>
      </c>
      <c r="F21" s="48" t="n">
        <f aca="false">SUM(F12:F20)</f>
        <v>136333.333333333</v>
      </c>
      <c r="G21" s="48" t="n">
        <f aca="false">SUM(G12:G20)</f>
        <v>136333.333333333</v>
      </c>
      <c r="H21" s="48" t="n">
        <f aca="false">SUM(H12:H20)</f>
        <v>136333.333333333</v>
      </c>
      <c r="I21" s="48" t="n">
        <f aca="false">SUM(I12:I20)</f>
        <v>136333.333333333</v>
      </c>
      <c r="J21" s="48" t="n">
        <f aca="false">SUM(J12:J20)</f>
        <v>136333.333333333</v>
      </c>
      <c r="K21" s="48" t="n">
        <f aca="false">SUM(K12:K20)</f>
        <v>189700</v>
      </c>
      <c r="L21" s="48" t="n">
        <f aca="false">SUM(L12:L20)</f>
        <v>189700</v>
      </c>
      <c r="M21" s="48" t="n">
        <f aca="false">SUM(M12:M20)</f>
        <v>189700</v>
      </c>
      <c r="N21" s="48" t="n">
        <f aca="false">SUM(N12:N20)</f>
        <v>189700</v>
      </c>
      <c r="O21" s="48" t="n">
        <f aca="false">SUM(O12:O20)</f>
        <v>189700</v>
      </c>
      <c r="P21" s="48" t="n">
        <f aca="false">SUM(P12:P20)</f>
        <v>189700</v>
      </c>
      <c r="Q21" s="48" t="n">
        <f aca="false">SUM(Q12:Q20)</f>
        <v>1956200</v>
      </c>
      <c r="R21" s="48" t="n">
        <f aca="false">SUM(R12:R20)</f>
        <v>53366.6666666667</v>
      </c>
      <c r="S21" s="45"/>
    </row>
  </sheetData>
  <mergeCells count="3">
    <mergeCell ref="C4:S4"/>
    <mergeCell ref="C9:S9"/>
    <mergeCell ref="C21:D21"/>
  </mergeCells>
  <printOptions headings="tru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firstPageNumber="1" useFirstPageNumber="true" horizontalDpi="300" verticalDpi="300" copies="1"/>
  <headerFooter differentFirst="false" differentOddEven="false">
    <oddHeader/>
    <oddFooter>&amp;CMensual | 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X29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0" ySplit="1" topLeftCell="A3" activePane="bottomLeft" state="frozen"/>
      <selection pane="topLeft" activeCell="A1" activeCellId="0" sqref="A1"/>
      <selection pane="bottomLeft" activeCell="M19" activeCellId="0" sqref="M19"/>
    </sheetView>
  </sheetViews>
  <sheetFormatPr defaultColWidth="8.57421875" defaultRowHeight="21.75" zeroHeight="false" outlineLevelRow="0" outlineLevelCol="0"/>
  <cols>
    <col collapsed="false" customWidth="false" hidden="false" outlineLevel="0" max="2" min="1" style="1" width="8.57"/>
    <col collapsed="false" customWidth="true" hidden="false" outlineLevel="0" max="3" min="3" style="1" width="45.14"/>
    <col collapsed="false" customWidth="true" hidden="false" outlineLevel="0" max="4" min="4" style="1" width="9.85"/>
    <col collapsed="false" customWidth="true" hidden="false" outlineLevel="0" max="5" min="5" style="1" width="12.42"/>
    <col collapsed="false" customWidth="true" hidden="false" outlineLevel="0" max="6" min="6" style="1" width="11.15"/>
    <col collapsed="false" customWidth="true" hidden="false" outlineLevel="0" max="7" min="7" style="1" width="11.28"/>
    <col collapsed="false" customWidth="true" hidden="false" outlineLevel="0" max="8" min="8" style="1" width="12.42"/>
    <col collapsed="false" customWidth="true" hidden="false" outlineLevel="0" max="9" min="9" style="1" width="11.28"/>
    <col collapsed="false" customWidth="true" hidden="false" outlineLevel="0" max="11" min="10" style="1" width="11.57"/>
    <col collapsed="false" customWidth="true" hidden="false" outlineLevel="0" max="13" min="12" style="1" width="12.14"/>
  </cols>
  <sheetData>
    <row r="1" customFormat="false" ht="21.75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</row>
    <row r="4" customFormat="false" ht="19.5" hidden="false" customHeight="true" outlineLevel="0" collapsed="false">
      <c r="C4" s="3" t="s">
        <v>168</v>
      </c>
      <c r="D4" s="3"/>
      <c r="E4" s="3"/>
      <c r="F4" s="3"/>
      <c r="G4" s="3"/>
      <c r="H4" s="3"/>
      <c r="I4" s="3"/>
      <c r="J4" s="3"/>
      <c r="K4" s="3"/>
      <c r="L4" s="3"/>
      <c r="M4" s="3"/>
    </row>
    <row r="6" customFormat="false" ht="15" hidden="false" customHeight="true" outlineLevel="0" collapsed="false">
      <c r="C6" s="4" t="s">
        <v>169</v>
      </c>
    </row>
    <row r="7" customFormat="false" ht="15" hidden="false" customHeight="true" outlineLevel="0" collapsed="false">
      <c r="C7" s="5" t="s">
        <v>170</v>
      </c>
    </row>
    <row r="9" customFormat="false" ht="15" hidden="false" customHeight="true" outlineLevel="0" collapsed="false">
      <c r="C9" s="6" t="s">
        <v>171</v>
      </c>
      <c r="D9" s="6"/>
      <c r="E9" s="6"/>
      <c r="F9" s="6"/>
      <c r="G9" s="6"/>
      <c r="H9" s="6"/>
      <c r="I9" s="6"/>
      <c r="J9" s="6"/>
      <c r="K9" s="6"/>
      <c r="L9" s="6"/>
      <c r="M9" s="6"/>
    </row>
    <row r="11" customFormat="false" ht="33.75" hidden="false" customHeight="true" outlineLevel="0" collapsed="false">
      <c r="C11" s="59" t="s">
        <v>37</v>
      </c>
      <c r="D11" s="59" t="s">
        <v>172</v>
      </c>
      <c r="E11" s="59" t="s">
        <v>173</v>
      </c>
      <c r="F11" s="59" t="s">
        <v>174</v>
      </c>
      <c r="G11" s="59" t="s">
        <v>175</v>
      </c>
      <c r="H11" s="59" t="s">
        <v>176</v>
      </c>
      <c r="I11" s="59" t="s">
        <v>177</v>
      </c>
      <c r="J11" s="59" t="s">
        <v>178</v>
      </c>
      <c r="K11" s="59" t="s">
        <v>179</v>
      </c>
      <c r="L11" s="59" t="s">
        <v>180</v>
      </c>
      <c r="M11" s="59" t="s">
        <v>181</v>
      </c>
    </row>
    <row r="12" customFormat="false" ht="24" hidden="false" customHeight="true" outlineLevel="0" collapsed="false">
      <c r="C12" s="19" t="str">
        <f aca="false">Personal!E12</f>
        <v>Martin del Castillo</v>
      </c>
      <c r="D12" s="63" t="str">
        <f aca="false">Personal!M12</f>
        <v>Expatriado</v>
      </c>
      <c r="E12" s="63" t="str">
        <f aca="false">Personal!N12</f>
        <v>Por definir</v>
      </c>
      <c r="F12" s="9" t="n">
        <f aca="false">Personal!O12</f>
        <v>36000</v>
      </c>
      <c r="G12" s="20" t="n">
        <f aca="false">Personal!P12</f>
        <v>12000</v>
      </c>
      <c r="H12" s="20" t="n">
        <f aca="false">Personal!Q12</f>
        <v>20000</v>
      </c>
      <c r="I12" s="20" t="n">
        <f aca="false">Personal!R12</f>
        <v>24000</v>
      </c>
      <c r="J12" s="20" t="n">
        <f aca="false">Personal!S12</f>
        <v>72000</v>
      </c>
      <c r="K12" s="20" t="n">
        <f aca="false">Personal!T12</f>
        <v>0</v>
      </c>
      <c r="L12" s="64" t="n">
        <f aca="false">Personal!U12</f>
        <v>0</v>
      </c>
      <c r="M12" s="65" t="n">
        <v>30</v>
      </c>
    </row>
    <row r="13" customFormat="false" ht="24" hidden="false" customHeight="true" outlineLevel="0" collapsed="false">
      <c r="C13" s="21" t="str">
        <f aca="false">Personal!E13</f>
        <v>Juan Conde</v>
      </c>
      <c r="D13" s="66" t="str">
        <f aca="false">Personal!M13</f>
        <v>Repatriado</v>
      </c>
      <c r="E13" s="66" t="str">
        <f aca="false">Personal!N13</f>
        <v>Maracaibo</v>
      </c>
      <c r="F13" s="15" t="n">
        <f aca="false">Personal!O13</f>
        <v>24000</v>
      </c>
      <c r="G13" s="22" t="n">
        <f aca="false">Personal!P13</f>
        <v>12000</v>
      </c>
      <c r="H13" s="22" t="n">
        <f aca="false">Personal!Q13</f>
        <v>0</v>
      </c>
      <c r="I13" s="22" t="n">
        <f aca="false">Personal!R13</f>
        <v>18000</v>
      </c>
      <c r="J13" s="22" t="n">
        <f aca="false">Personal!S13</f>
        <v>0</v>
      </c>
      <c r="K13" s="22" t="n">
        <f aca="false">Personal!T13</f>
        <v>72000</v>
      </c>
      <c r="L13" s="66" t="str">
        <f aca="false">Personal!U13</f>
        <v>TBD</v>
      </c>
      <c r="M13" s="67" t="n">
        <v>30</v>
      </c>
    </row>
    <row r="14" customFormat="false" ht="24" hidden="false" customHeight="true" outlineLevel="0" collapsed="false">
      <c r="C14" s="21" t="str">
        <f aca="false">Personal!E14</f>
        <v>Alexander Stulme</v>
      </c>
      <c r="D14" s="66" t="str">
        <f aca="false">Personal!M14</f>
        <v>Repatriado</v>
      </c>
      <c r="E14" s="66" t="str">
        <f aca="false">Personal!N14</f>
        <v>Maracaibo</v>
      </c>
      <c r="F14" s="15" t="n">
        <f aca="false">Personal!O14</f>
        <v>0</v>
      </c>
      <c r="G14" s="22" t="n">
        <f aca="false">Personal!P14</f>
        <v>12000</v>
      </c>
      <c r="H14" s="22" t="n">
        <f aca="false">Personal!Q14</f>
        <v>0</v>
      </c>
      <c r="I14" s="22" t="n">
        <f aca="false">Personal!R14</f>
        <v>18000</v>
      </c>
      <c r="J14" s="22" t="n">
        <f aca="false">Personal!S14</f>
        <v>0</v>
      </c>
      <c r="K14" s="22" t="n">
        <f aca="false">Personal!T14</f>
        <v>60000</v>
      </c>
      <c r="L14" s="66" t="str">
        <f aca="false">Personal!U14</f>
        <v>TBD</v>
      </c>
      <c r="M14" s="68" t="n">
        <v>30</v>
      </c>
    </row>
    <row r="15" customFormat="false" ht="24" hidden="false" customHeight="true" outlineLevel="0" collapsed="false">
      <c r="C15" s="21" t="str">
        <f aca="false">Personal!E15</f>
        <v>Félix Valderrama</v>
      </c>
      <c r="D15" s="66" t="str">
        <f aca="false">Personal!M15</f>
        <v>Repatriado</v>
      </c>
      <c r="E15" s="66" t="str">
        <f aca="false">Personal!N15</f>
        <v>Maracaibo</v>
      </c>
      <c r="F15" s="15" t="n">
        <f aca="false">Personal!O15</f>
        <v>24000</v>
      </c>
      <c r="G15" s="22" t="n">
        <f aca="false">Personal!P15</f>
        <v>12000</v>
      </c>
      <c r="H15" s="22" t="n">
        <f aca="false">Personal!Q15</f>
        <v>0</v>
      </c>
      <c r="I15" s="22" t="n">
        <f aca="false">Personal!R15</f>
        <v>18000</v>
      </c>
      <c r="J15" s="22" t="n">
        <f aca="false">Personal!S15</f>
        <v>0</v>
      </c>
      <c r="K15" s="22" t="n">
        <f aca="false">Personal!T15</f>
        <v>72000</v>
      </c>
      <c r="L15" s="66" t="str">
        <f aca="false">Personal!U15</f>
        <v>TBD</v>
      </c>
      <c r="M15" s="68" t="n">
        <v>30</v>
      </c>
    </row>
    <row r="16" customFormat="false" ht="24" hidden="false" customHeight="true" outlineLevel="0" collapsed="false">
      <c r="C16" s="21" t="str">
        <f aca="false">Personal!E16</f>
        <v>Alan McKeon</v>
      </c>
      <c r="D16" s="66" t="str">
        <f aca="false">Personal!M16</f>
        <v>Expatriado</v>
      </c>
      <c r="E16" s="66" t="str">
        <f aca="false">Personal!N16</f>
        <v>Maracaibo</v>
      </c>
      <c r="F16" s="15" t="n">
        <f aca="false">Personal!O16</f>
        <v>12000</v>
      </c>
      <c r="G16" s="22" t="n">
        <f aca="false">Personal!P16</f>
        <v>12000</v>
      </c>
      <c r="H16" s="22" t="n">
        <f aca="false">Personal!Q16</f>
        <v>12000</v>
      </c>
      <c r="I16" s="22" t="n">
        <f aca="false">Personal!R16</f>
        <v>18000</v>
      </c>
      <c r="J16" s="22" t="n">
        <f aca="false">Personal!S16</f>
        <v>36000</v>
      </c>
      <c r="K16" s="22" t="n">
        <f aca="false">Personal!T16</f>
        <v>0</v>
      </c>
      <c r="L16" s="69" t="n">
        <f aca="false">Personal!U16</f>
        <v>0</v>
      </c>
      <c r="M16" s="68" t="n">
        <v>30</v>
      </c>
    </row>
    <row r="17" customFormat="false" ht="24" hidden="false" customHeight="true" outlineLevel="0" collapsed="false">
      <c r="C17" s="21" t="str">
        <f aca="false">Personal!E17</f>
        <v>JJI</v>
      </c>
      <c r="D17" s="66" t="str">
        <f aca="false">Personal!M17</f>
        <v>Remote</v>
      </c>
      <c r="E17" s="66" t="str">
        <f aca="false">Personal!N17</f>
        <v>Remoto</v>
      </c>
      <c r="F17" s="15" t="n">
        <f aca="false">Personal!O17</f>
        <v>0</v>
      </c>
      <c r="G17" s="22" t="n">
        <f aca="false">Personal!P17</f>
        <v>0</v>
      </c>
      <c r="H17" s="22" t="n">
        <f aca="false">Personal!Q17</f>
        <v>0</v>
      </c>
      <c r="I17" s="22" t="n">
        <f aca="false">Personal!R17</f>
        <v>0</v>
      </c>
      <c r="J17" s="22" t="n">
        <f aca="false">Personal!S17</f>
        <v>0</v>
      </c>
      <c r="K17" s="22" t="n">
        <f aca="false">Personal!T17</f>
        <v>0</v>
      </c>
      <c r="L17" s="69" t="n">
        <f aca="false">Personal!U17</f>
        <v>0</v>
      </c>
      <c r="M17" s="68" t="n">
        <v>30</v>
      </c>
    </row>
    <row r="18" customFormat="false" ht="24" hidden="false" customHeight="true" outlineLevel="0" collapsed="false">
      <c r="C18" s="21" t="str">
        <f aca="false">Personal!E18</f>
        <v>Marcelo Dantas</v>
      </c>
      <c r="D18" s="66" t="str">
        <f aca="false">Personal!M18</f>
        <v>On rotation</v>
      </c>
      <c r="E18" s="66" t="str">
        <f aca="false">Personal!N18</f>
        <v>Por definir</v>
      </c>
      <c r="F18" s="15" t="n">
        <f aca="false">Personal!O18</f>
        <v>24000</v>
      </c>
      <c r="G18" s="22" t="n">
        <f aca="false">Personal!P18</f>
        <v>12000</v>
      </c>
      <c r="H18" s="22" t="n">
        <f aca="false">Personal!Q18</f>
        <v>12000</v>
      </c>
      <c r="I18" s="22" t="n">
        <f aca="false">Personal!R18</f>
        <v>18000</v>
      </c>
      <c r="J18" s="22" t="n">
        <f aca="false">Personal!S18</f>
        <v>36000</v>
      </c>
      <c r="K18" s="22" t="n">
        <f aca="false">Personal!T18</f>
        <v>0</v>
      </c>
      <c r="L18" s="69" t="n">
        <f aca="false">Personal!U18</f>
        <v>0</v>
      </c>
      <c r="M18" s="68" t="n">
        <v>30</v>
      </c>
    </row>
    <row r="19" customFormat="false" ht="24" hidden="false" customHeight="true" outlineLevel="0" collapsed="false">
      <c r="C19" s="21" t="str">
        <f aca="false">Personal!E19</f>
        <v>Jose Miguel</v>
      </c>
      <c r="D19" s="66" t="str">
        <f aca="false">Personal!M19</f>
        <v>Local</v>
      </c>
      <c r="E19" s="66" t="str">
        <f aca="false">Personal!N19</f>
        <v>Maracaibo</v>
      </c>
      <c r="F19" s="15" t="n">
        <f aca="false">Personal!O19</f>
        <v>0</v>
      </c>
      <c r="G19" s="22" t="n">
        <f aca="false">Personal!P19</f>
        <v>8000</v>
      </c>
      <c r="H19" s="22" t="n">
        <f aca="false">Personal!Q19</f>
        <v>0</v>
      </c>
      <c r="I19" s="22" t="n">
        <f aca="false">Personal!R19</f>
        <v>7200</v>
      </c>
      <c r="J19" s="22" t="n">
        <f aca="false">Personal!S19</f>
        <v>0</v>
      </c>
      <c r="K19" s="22" t="n">
        <f aca="false">Personal!T19</f>
        <v>0</v>
      </c>
      <c r="L19" s="69" t="n">
        <f aca="false">Personal!U19</f>
        <v>0</v>
      </c>
      <c r="M19" s="68" t="n">
        <v>30</v>
      </c>
    </row>
    <row r="20" customFormat="false" ht="24" hidden="false" customHeight="true" outlineLevel="0" collapsed="false">
      <c r="C20" s="23" t="str">
        <f aca="false">Personal!E20</f>
        <v>TBD</v>
      </c>
      <c r="D20" s="70" t="str">
        <f aca="false">Personal!M20</f>
        <v>Local</v>
      </c>
      <c r="E20" s="70" t="str">
        <f aca="false">Personal!N20</f>
        <v>Maracaibo</v>
      </c>
      <c r="F20" s="24" t="n">
        <f aca="false">Personal!O20</f>
        <v>0</v>
      </c>
      <c r="G20" s="25" t="n">
        <f aca="false">Personal!P20</f>
        <v>8000</v>
      </c>
      <c r="H20" s="25" t="n">
        <f aca="false">Personal!Q20</f>
        <v>0</v>
      </c>
      <c r="I20" s="25" t="n">
        <f aca="false">Personal!R20</f>
        <v>7200</v>
      </c>
      <c r="J20" s="25" t="n">
        <f aca="false">Personal!S20</f>
        <v>0</v>
      </c>
      <c r="K20" s="25" t="n">
        <f aca="false">Personal!T20</f>
        <v>0</v>
      </c>
      <c r="L20" s="71" t="n">
        <f aca="false">Personal!U20</f>
        <v>0</v>
      </c>
      <c r="M20" s="72" t="n">
        <v>30</v>
      </c>
    </row>
    <row r="23" customFormat="false" ht="15" hidden="false" customHeight="true" outlineLevel="0" collapsed="false">
      <c r="C23" s="6" t="s">
        <v>182</v>
      </c>
      <c r="D23" s="6"/>
      <c r="E23" s="6"/>
      <c r="F23" s="6"/>
      <c r="G23" s="6"/>
      <c r="H23" s="6"/>
      <c r="I23" s="6"/>
      <c r="J23" s="6"/>
      <c r="K23" s="6"/>
      <c r="L23" s="6"/>
      <c r="M23" s="6"/>
    </row>
    <row r="24" customFormat="false" ht="24" hidden="false" customHeight="true" outlineLevel="0" collapsed="false">
      <c r="C24" s="29" t="s">
        <v>183</v>
      </c>
      <c r="D24" s="29"/>
      <c r="E24" s="29"/>
      <c r="F24" s="29"/>
      <c r="G24" s="29"/>
      <c r="H24" s="29"/>
      <c r="I24" s="29"/>
      <c r="J24" s="29"/>
      <c r="K24" s="29"/>
      <c r="L24" s="29"/>
      <c r="M24" s="29"/>
    </row>
    <row r="25" customFormat="false" ht="24" hidden="false" customHeight="true" outlineLevel="0" collapsed="false">
      <c r="C25" s="29" t="s">
        <v>184</v>
      </c>
      <c r="D25" s="29"/>
      <c r="E25" s="29"/>
      <c r="F25" s="29"/>
      <c r="G25" s="29"/>
      <c r="H25" s="29"/>
      <c r="I25" s="29"/>
      <c r="J25" s="29"/>
      <c r="K25" s="29"/>
      <c r="L25" s="29"/>
      <c r="M25" s="29"/>
    </row>
    <row r="26" customFormat="false" ht="24" hidden="false" customHeight="true" outlineLevel="0" collapsed="false">
      <c r="C26" s="29" t="s">
        <v>185</v>
      </c>
      <c r="D26" s="29"/>
      <c r="E26" s="29"/>
      <c r="F26" s="29"/>
      <c r="G26" s="29"/>
      <c r="H26" s="29"/>
      <c r="I26" s="29"/>
      <c r="J26" s="29"/>
      <c r="K26" s="29"/>
      <c r="L26" s="29"/>
      <c r="M26" s="29"/>
    </row>
    <row r="27" customFormat="false" ht="24" hidden="false" customHeight="true" outlineLevel="0" collapsed="false">
      <c r="C27" s="29" t="s">
        <v>186</v>
      </c>
      <c r="D27" s="29"/>
      <c r="E27" s="29"/>
      <c r="F27" s="29"/>
      <c r="G27" s="29"/>
      <c r="H27" s="29"/>
      <c r="I27" s="29"/>
      <c r="J27" s="29"/>
      <c r="K27" s="29"/>
      <c r="L27" s="29"/>
      <c r="M27" s="29"/>
    </row>
    <row r="28" customFormat="false" ht="24" hidden="false" customHeight="true" outlineLevel="0" collapsed="false">
      <c r="C28" s="29" t="s">
        <v>187</v>
      </c>
      <c r="D28" s="29"/>
      <c r="E28" s="29"/>
      <c r="F28" s="29"/>
      <c r="G28" s="29"/>
      <c r="H28" s="29"/>
      <c r="I28" s="29"/>
      <c r="J28" s="29"/>
      <c r="K28" s="29"/>
      <c r="L28" s="29"/>
      <c r="M28" s="29"/>
    </row>
    <row r="29" customFormat="false" ht="24" hidden="false" customHeight="true" outlineLevel="0" collapsed="false">
      <c r="C29" s="29" t="s">
        <v>188</v>
      </c>
      <c r="D29" s="29"/>
      <c r="E29" s="29"/>
      <c r="F29" s="29"/>
      <c r="G29" s="29"/>
      <c r="H29" s="29"/>
      <c r="I29" s="29"/>
      <c r="J29" s="29"/>
      <c r="K29" s="29"/>
      <c r="L29" s="29"/>
      <c r="M29" s="29"/>
    </row>
  </sheetData>
  <mergeCells count="9">
    <mergeCell ref="C4:M4"/>
    <mergeCell ref="C9:M9"/>
    <mergeCell ref="C23:M23"/>
    <mergeCell ref="C24:M24"/>
    <mergeCell ref="C25:M25"/>
    <mergeCell ref="C26:M26"/>
    <mergeCell ref="C27:M27"/>
    <mergeCell ref="C28:M28"/>
    <mergeCell ref="C29:M29"/>
  </mergeCells>
  <printOptions headings="true" gridLines="false" gridLinesSet="true" horizontalCentered="false" verticalCentered="false"/>
  <pageMargins left="0.75" right="0.75" top="1" bottom="1" header="0.511811023622047" footer="0.5"/>
  <pageSetup paperSize="1" scale="100" fitToWidth="1" fitToHeight="1" pageOrder="downThenOver" orientation="landscape" blackAndWhite="false" draft="false" cellComments="none" firstPageNumber="1" useFirstPageNumber="true" horizontalDpi="300" verticalDpi="300" copies="1"/>
  <headerFooter differentFirst="false" differentOddEven="false">
    <oddHeader/>
    <oddFooter>&amp;CBeneficios M7+ | Página &amp;P de &amp;N</oddFoot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2" min="1" style="1" width="20"/>
    <col collapsed="false" customWidth="true" hidden="false" outlineLevel="0" max="3" min="3" style="1" width="33"/>
    <col collapsed="false" customWidth="true" hidden="false" outlineLevel="0" max="4" min="4" style="1" width="26"/>
    <col collapsed="false" customWidth="true" hidden="false" outlineLevel="0" max="5" min="5" style="1" width="35"/>
    <col collapsed="false" customWidth="true" hidden="false" outlineLevel="0" max="10" min="6" style="1" width="12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</row>
    <row r="4" customFormat="false" ht="19.5" hidden="false" customHeight="true" outlineLevel="0" collapsed="false">
      <c r="C4" s="3" t="s">
        <v>189</v>
      </c>
      <c r="D4" s="3"/>
      <c r="E4" s="3"/>
      <c r="F4" s="3"/>
      <c r="G4" s="3"/>
      <c r="H4" s="3"/>
      <c r="I4" s="3"/>
      <c r="J4" s="3"/>
    </row>
    <row r="6" customFormat="false" ht="15" hidden="false" customHeight="true" outlineLevel="0" collapsed="false">
      <c r="C6" s="4" t="s">
        <v>190</v>
      </c>
    </row>
    <row r="7" customFormat="false" ht="15" hidden="false" customHeight="true" outlineLevel="0" collapsed="false">
      <c r="C7" s="5" t="s">
        <v>191</v>
      </c>
    </row>
    <row r="9" customFormat="false" ht="15" hidden="false" customHeight="true" outlineLevel="0" collapsed="false">
      <c r="C9" s="6" t="s">
        <v>192</v>
      </c>
      <c r="D9" s="6"/>
      <c r="E9" s="6"/>
      <c r="F9" s="6"/>
      <c r="G9" s="6"/>
      <c r="H9" s="6"/>
      <c r="I9" s="6"/>
      <c r="J9" s="6"/>
    </row>
    <row r="11" customFormat="false" ht="33.75" hidden="false" customHeight="true" outlineLevel="0" collapsed="false">
      <c r="C11" s="7" t="s">
        <v>193</v>
      </c>
      <c r="D11" s="7" t="s">
        <v>5</v>
      </c>
      <c r="E11" s="7" t="s">
        <v>194</v>
      </c>
    </row>
    <row r="12" customFormat="false" ht="15" hidden="false" customHeight="true" outlineLevel="0" collapsed="false">
      <c r="C12" s="8" t="s">
        <v>195</v>
      </c>
      <c r="D12" s="67" t="n">
        <v>6</v>
      </c>
      <c r="E12" s="73" t="s">
        <v>12</v>
      </c>
    </row>
    <row r="13" customFormat="false" ht="15" hidden="false" customHeight="true" outlineLevel="0" collapsed="false">
      <c r="C13" s="14" t="s">
        <v>196</v>
      </c>
      <c r="D13" s="68" t="n">
        <v>6</v>
      </c>
      <c r="E13" s="74" t="s">
        <v>22</v>
      </c>
    </row>
    <row r="14" customFormat="false" ht="15" hidden="false" customHeight="true" outlineLevel="0" collapsed="false">
      <c r="C14" s="14" t="s">
        <v>197</v>
      </c>
      <c r="D14" s="52" t="s">
        <v>198</v>
      </c>
      <c r="E14" s="74" t="s">
        <v>199</v>
      </c>
    </row>
    <row r="15" customFormat="false" ht="15" hidden="false" customHeight="true" outlineLevel="0" collapsed="false">
      <c r="C15" s="14" t="s">
        <v>200</v>
      </c>
      <c r="D15" s="52" t="s">
        <v>201</v>
      </c>
      <c r="E15" s="74" t="s">
        <v>202</v>
      </c>
    </row>
    <row r="16" customFormat="false" ht="15" hidden="false" customHeight="true" outlineLevel="0" collapsed="false">
      <c r="C16" s="14" t="s">
        <v>203</v>
      </c>
      <c r="D16" s="52" t="s">
        <v>113</v>
      </c>
      <c r="E16" s="74" t="s">
        <v>204</v>
      </c>
    </row>
    <row r="17" customFormat="false" ht="15" hidden="false" customHeight="true" outlineLevel="0" collapsed="false">
      <c r="C17" s="75" t="s">
        <v>205</v>
      </c>
      <c r="D17" s="55" t="s">
        <v>206</v>
      </c>
      <c r="E17" s="76" t="s">
        <v>207</v>
      </c>
    </row>
    <row r="20" customFormat="false" ht="15" hidden="false" customHeight="true" outlineLevel="0" collapsed="false">
      <c r="C20" s="6" t="s">
        <v>208</v>
      </c>
      <c r="D20" s="6"/>
      <c r="E20" s="6"/>
      <c r="F20" s="6"/>
      <c r="G20" s="6"/>
      <c r="H20" s="6"/>
      <c r="I20" s="6"/>
      <c r="J20" s="6"/>
    </row>
    <row r="21" customFormat="false" ht="15" hidden="false" customHeight="true" outlineLevel="0" collapsed="false">
      <c r="C21" s="77" t="s">
        <v>209</v>
      </c>
      <c r="D21" s="77"/>
      <c r="E21" s="77"/>
      <c r="F21" s="77"/>
      <c r="G21" s="77"/>
      <c r="H21" s="77"/>
      <c r="I21" s="77"/>
      <c r="J21" s="77"/>
    </row>
    <row r="22" customFormat="false" ht="15" hidden="false" customHeight="true" outlineLevel="0" collapsed="false">
      <c r="C22" s="77"/>
      <c r="D22" s="77"/>
      <c r="E22" s="77"/>
      <c r="F22" s="77"/>
      <c r="G22" s="77"/>
      <c r="H22" s="77"/>
      <c r="I22" s="77"/>
      <c r="J22" s="77"/>
    </row>
    <row r="23" customFormat="false" ht="15" hidden="false" customHeight="true" outlineLevel="0" collapsed="false">
      <c r="C23" s="77"/>
      <c r="D23" s="77"/>
      <c r="E23" s="77"/>
      <c r="F23" s="77"/>
      <c r="G23" s="77"/>
      <c r="H23" s="77"/>
      <c r="I23" s="77"/>
      <c r="J23" s="77"/>
    </row>
  </sheetData>
  <mergeCells count="4">
    <mergeCell ref="C4:J4"/>
    <mergeCell ref="C9:J9"/>
    <mergeCell ref="C20:J20"/>
    <mergeCell ref="C21:J23"/>
  </mergeCells>
  <printOptions headings="true" gridLines="false" gridLinesSet="true" horizontalCentered="false" verticalCentered="false"/>
  <pageMargins left="0.75" right="0.75" top="1" bottom="1" header="0.511811023622047" footer="0.5"/>
  <pageSetup paperSize="1" scale="100" fitToWidth="1" fitToHeight="1" pageOrder="downThenOver" orientation="landscape" blackAndWhite="false" draft="false" cellComments="none" firstPageNumber="1" useFirstPageNumber="true" horizontalDpi="300" verticalDpi="300" copies="1"/>
  <headerFooter differentFirst="false" differentOddEven="false">
    <oddHeader/>
    <oddFooter>&amp;CSupuestos | Página &amp;P de &amp;N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2026-09-05T19:41:37Z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