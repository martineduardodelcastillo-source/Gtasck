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Supuestos" sheetId="2" state="visible" r:id="rId4"/>
    <sheet name="Personal" sheetId="3" state="visible" r:id="rId5"/>
    <sheet name="Mensual" sheetId="4" state="visible" r:id="rId6"/>
    <sheet name="Definiciones" sheetId="5" state="visible" r:id="rId7"/>
  </sheets>
  <definedNames>
    <definedName function="false" hidden="false" localSheetId="4" name="_xlnm.Print_Area" vbProcedure="false">Definiciones!$B$3:$K$35</definedName>
    <definedName function="false" hidden="false" localSheetId="3" name="_xlnm.Print_Area" vbProcedure="false">Mensual!$B$3:$T$30</definedName>
    <definedName function="false" hidden="false" localSheetId="3" name="_xlnm.Print_Titles" vbProcedure="false">Mensual!$10:$10</definedName>
    <definedName function="false" hidden="false" localSheetId="2" name="_xlnm.Print_Area" vbProcedure="false">Personal!$B$2:$AM$22</definedName>
    <definedName function="false" hidden="false" localSheetId="2" name="_xlnm.Print_Titles" vbProcedure="false">Personal!$10:$10</definedName>
    <definedName function="false" hidden="true" localSheetId="2" name="_xlnm._FilterDatabase" vbProcedure="false">Personal!$C$11:$AI$20</definedName>
    <definedName function="false" hidden="false" localSheetId="0" name="_xlnm.Print_Area" vbProcedure="false">Resumen!$B$2:$R$60</definedName>
    <definedName function="false" hidden="false" localSheetId="1" name="_xlnm.Print_Area" vbProcedure="false">Supuestos!$B$3:$J$39</definedName>
    <definedName function="false" hidden="false" localSheetId="0" name="_xlnm.Print_Area_0" vbProcedure="false">Resumen!$B$3:$R$46</definedName>
    <definedName function="false" hidden="false" localSheetId="2" name="_xlnm.Print_Area_0" vbProcedure="false">Personal!$B$2:$AL$22</definedName>
    <definedName function="false" hidden="false" localSheetId="2" name="_xlnm.Print_Area_0_0" vbProcedure="false">Personal!$B$3:$AI$22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23" authorId="0">
      <text>
        <r>
          <rPr>
            <sz val="10"/>
            <rFont val="Arial"/>
            <family val="2"/>
          </rPr>
          <t xml:space="preserve">Fuente: escenario previo del modelo validado antes de las asignaciones individuales del 5 de septiembre de 2026.</t>
        </r>
      </text>
    </comment>
    <comment ref="D51" authorId="0">
      <text>
        <r>
          <rPr>
            <sz val="10"/>
            <rFont val="Arial"/>
            <family val="2"/>
          </rPr>
          <t xml:space="preserve">Fuente: costo individual del escenario previo con todas las personas como expatriadas, validado el 5 de septiembre de 2026.</t>
        </r>
      </text>
    </comment>
    <comment ref="D52" authorId="0">
      <text>
        <r>
          <rPr>
            <sz val="10"/>
            <rFont val="Arial"/>
            <family val="2"/>
          </rPr>
          <t xml:space="preserve">Fuente: costo individual del escenario previo con todas las personas como expatriadas, validado el 5 de septiembre de 2026.</t>
        </r>
      </text>
    </comment>
    <comment ref="D53" authorId="0">
      <text>
        <r>
          <rPr>
            <sz val="10"/>
            <rFont val="Arial"/>
            <family val="2"/>
          </rPr>
          <t xml:space="preserve">Fuente: costo individual del escenario previo con todas las personas como expatriadas, validado el 5 de septiembre de 2026.</t>
        </r>
      </text>
    </comment>
    <comment ref="D54" authorId="0">
      <text>
        <r>
          <rPr>
            <sz val="10"/>
            <rFont val="Arial"/>
            <family val="2"/>
          </rPr>
          <t xml:space="preserve">Fuente: costo individual del escenario previo con todas las personas como expatriadas, validado el 5 de septiembre de 2026.</t>
        </r>
      </text>
    </comment>
    <comment ref="D55" authorId="0">
      <text>
        <r>
          <rPr>
            <sz val="10"/>
            <rFont val="Arial"/>
            <family val="2"/>
          </rPr>
          <t xml:space="preserve">Fuente: costo individual del escenario previo con todas las personas como expatriadas, validado el 5 de septiembre de 2026.</t>
        </r>
      </text>
    </comment>
    <comment ref="D56" authorId="0">
      <text>
        <r>
          <rPr>
            <sz val="10"/>
            <rFont val="Arial"/>
            <family val="2"/>
          </rPr>
          <t xml:space="preserve">Fuente: costo individual del escenario previo con todas las personas como expatriadas, validado el 5 de septiembre de 2026.</t>
        </r>
      </text>
    </comment>
    <comment ref="D57" authorId="0">
      <text>
        <r>
          <rPr>
            <sz val="10"/>
            <rFont val="Arial"/>
            <family val="2"/>
          </rPr>
          <t xml:space="preserve">Fuente: costo individual del escenario previo con todas las personas como expatriadas, validado el 5 de septiembre de 2026.</t>
        </r>
      </text>
    </comment>
    <comment ref="D58" authorId="0">
      <text>
        <r>
          <rPr>
            <sz val="10"/>
            <rFont val="Arial"/>
            <family val="2"/>
          </rPr>
          <t xml:space="preserve">Fuente: costo individual del escenario previo con todas las personas como expatriadas, validado el 5 de septiembre de 2026.</t>
        </r>
      </text>
    </comment>
    <comment ref="D59" authorId="0">
      <text>
        <r>
          <rPr>
            <sz val="10"/>
            <rFont val="Arial"/>
            <family val="2"/>
          </rPr>
          <t xml:space="preserve">Fuente: costo individual del escenario previo con todas las personas como expatriadas, validado el 5 de septiembre de 2026.</t>
        </r>
      </text>
    </comment>
    <comment ref="E23" authorId="0">
      <text>
        <r>
          <rPr>
            <sz val="10"/>
            <rFont val="Arial"/>
            <family val="2"/>
          </rPr>
          <t xml:space="preserve">Fuente: escenario previo del modelo validado antes de las asignaciones individuales del 5 de septiembre de 2026.</t>
        </r>
      </text>
    </comment>
    <comment ref="F23" authorId="0">
      <text>
        <r>
          <rPr>
            <sz val="10"/>
            <rFont val="Arial"/>
            <family val="2"/>
          </rPr>
          <t xml:space="preserve">Fuente: escenario previo del modelo validado antes de las asignaciones individuales del 5 de septiembre de 2026.</t>
        </r>
      </text>
    </comment>
    <comment ref="G23" authorId="0">
      <text>
        <r>
          <rPr>
            <sz val="10"/>
            <rFont val="Arial"/>
            <family val="2"/>
          </rPr>
          <t xml:space="preserve">Fuente: escenario previo del modelo validado antes de las asignaciones individuales del 5 de septiembre de 2026.</t>
        </r>
      </text>
    </comment>
    <comment ref="H23" authorId="0">
      <text>
        <r>
          <rPr>
            <sz val="10"/>
            <rFont val="Arial"/>
            <family val="2"/>
          </rPr>
          <t xml:space="preserve">Fuente: escenario previo del modelo validado antes de las asignaciones individuales del 5 de septiembre de 2026.</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10" authorId="0">
      <text>
        <r>
          <rPr>
            <sz val="10"/>
            <rFont val="Arial"/>
            <family val="2"/>
          </rPr>
          <t xml:space="preserve">Fuente: supuesto presupuestario del modelo preparado el 5 de septiembre de 2026. Duración solicitada por la gerencia: primeros seis meses como consultor.</t>
        </r>
      </text>
    </comment>
    <comment ref="D11" authorId="0">
      <text>
        <r>
          <rPr>
            <sz val="10"/>
            <rFont val="Arial"/>
            <family val="2"/>
          </rPr>
          <t xml:space="preserve">Fuente: supuesto presupuestario del modelo preparado el 5 de septiembre de 2026. Segundo bloque presupuestario del año: meses 7 a 12.</t>
        </r>
      </text>
    </comment>
    <comment ref="D12" authorId="0">
      <text>
        <r>
          <rPr>
            <sz val="10"/>
            <rFont val="Arial"/>
            <family val="2"/>
          </rPr>
          <t xml:space="preserve">Fuente: supuesto presupuestario del modelo preparado el 5 de septiembre de 2026. Supuesto gerencial: no se carga Tax &amp; Social venezolano durante la etapa de consultoría. Requiere validación legal y fiscal independiente.</t>
        </r>
      </text>
    </comment>
    <comment ref="D13" authorId="0">
      <text>
        <r>
          <rPr>
            <sz val="10"/>
            <rFont val="Arial"/>
            <family val="2"/>
          </rPr>
          <t xml:space="preserve">Fuente: supuesto presupuestario del modelo preparado el 5 de septiembre de 2026. Supuesto gerencial: el repatriado asume su impuesto personal. Ajustar si existen contribuciones patronales obligatorias u otras cargas de la empresa.</t>
        </r>
      </text>
    </comment>
    <comment ref="D14" authorId="0">
      <text>
        <r>
          <rPr>
            <sz val="10"/>
            <rFont val="Arial"/>
            <family val="2"/>
          </rPr>
          <t xml:space="preserve">Fuente: supuesto presupuestario del modelo preparado el 5 de septiembre de 2026. Supuesto gerencial: la empresa cubre o neutraliza el impuesto del país de trabajo para el expatriado. No incluye obligaciones del país de origen salvo política expresa.</t>
        </r>
      </text>
    </comment>
    <comment ref="D19" authorId="0">
      <text>
        <r>
          <rPr>
            <sz val="10"/>
            <rFont val="Arial"/>
            <family val="2"/>
          </rPr>
          <t xml:space="preserve">Fuente: supuesto presupuestario del modelo preparado el 5 de septiembre de 2026. Política automática de vivienda para la ciudad 'Caracas'. Puede modificarse por decisión gerencial.</t>
        </r>
      </text>
    </comment>
    <comment ref="D20" authorId="0">
      <text>
        <r>
          <rPr>
            <sz val="10"/>
            <rFont val="Arial"/>
            <family val="2"/>
          </rPr>
          <t xml:space="preserve">Fuente: supuesto presupuestario del modelo preparado el 5 de septiembre de 2026. Política automática de vivienda para la ciudad 'Maracaibo'. Puede modificarse por decisión gerencial.</t>
        </r>
      </text>
    </comment>
    <comment ref="D21" authorId="0">
      <text>
        <r>
          <rPr>
            <sz val="10"/>
            <rFont val="Arial"/>
            <family val="2"/>
          </rPr>
          <t xml:space="preserve">Fuente: supuesto presupuestario del modelo preparado el 5 de septiembre de 2026. Política automática de vivienda para la ciudad 'Otro'. Puede modificarse por decisión gerencial.</t>
        </r>
      </text>
    </comment>
    <comment ref="D22" authorId="0">
      <text>
        <r>
          <rPr>
            <sz val="10"/>
            <rFont val="Arial"/>
            <family val="2"/>
          </rPr>
          <t xml:space="preserve">Fuente: supuesto presupuestario del modelo preparado el 5 de septiembre de 2026. Política automática de vivienda para la ciudad 'Por definir'. Puede modificarse por decisión gerencial.</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12" authorId="0">
      <text>
        <r>
          <rPr>
            <sz val="10"/>
            <rFont val="Arial"/>
            <family val="2"/>
          </rPr>
          <t xml:space="preserve">Fuente: Tabla de paquetes de personal suministrada por el usuario. Fecha: 5 de septiembre de 2026. Fila 1, campo '#'. Archivo: package_source_2026-09-05.jpeg.</t>
        </r>
      </text>
    </comment>
    <comment ref="C13" authorId="0">
      <text>
        <r>
          <rPr>
            <sz val="10"/>
            <rFont val="Arial"/>
            <family val="2"/>
          </rPr>
          <t xml:space="preserve">Fuente: Tabla de paquetes de personal suministrada por el usuario. Fecha: 5 de septiembre de 2026. Fila 2, campo '#'. Archivo: package_source_2026-09-05.jpeg.</t>
        </r>
      </text>
    </comment>
    <comment ref="C14" authorId="0">
      <text>
        <r>
          <rPr>
            <sz val="10"/>
            <rFont val="Arial"/>
            <family val="2"/>
          </rPr>
          <t xml:space="preserve">Fuente: Tabla de paquetes de personal suministrada por el usuario. Fecha: 5 de septiembre de 2026. Fila 3, campo '#'. Archivo: package_source_2026-09-05.jpeg.</t>
        </r>
      </text>
    </comment>
    <comment ref="C15" authorId="0">
      <text>
        <r>
          <rPr>
            <sz val="10"/>
            <rFont val="Arial"/>
            <family val="2"/>
          </rPr>
          <t xml:space="preserve">Fuente: Tabla de paquetes de personal suministrada por el usuario. Fecha: 5 de septiembre de 2026. Fila 4, campo '#'. Archivo: package_source_2026-09-05.jpeg.</t>
        </r>
      </text>
    </comment>
    <comment ref="C16" authorId="0">
      <text>
        <r>
          <rPr>
            <sz val="10"/>
            <rFont val="Arial"/>
            <family val="2"/>
          </rPr>
          <t xml:space="preserve">Fuente: Tabla de paquetes de personal suministrada por el usuario. Fecha: 5 de septiembre de 2026. Fila 5, campo '#'. Archivo: package_source_2026-09-05.jpeg.</t>
        </r>
      </text>
    </comment>
    <comment ref="C17" authorId="0">
      <text>
        <r>
          <rPr>
            <sz val="10"/>
            <rFont val="Arial"/>
            <family val="2"/>
          </rPr>
          <t xml:space="preserve">Fuente: Tabla de paquetes de personal suministrada por el usuario. Fecha: 5 de septiembre de 2026. Fila 6, campo '#'. Archivo: package_source_2026-09-05.jpeg.</t>
        </r>
      </text>
    </comment>
    <comment ref="C18" authorId="0">
      <text>
        <r>
          <rPr>
            <sz val="10"/>
            <rFont val="Arial"/>
            <family val="2"/>
          </rPr>
          <t xml:space="preserve">Fuente: Tabla de paquetes de personal suministrada por el usuario. Fecha: 5 de septiembre de 2026. Fila 7, campo '#'. Archivo: package_source_2026-09-05.jpeg.</t>
        </r>
      </text>
    </comment>
    <comment ref="C19" authorId="0">
      <text>
        <r>
          <rPr>
            <sz val="10"/>
            <rFont val="Arial"/>
            <family val="2"/>
          </rPr>
          <t xml:space="preserve">Fuente: Tabla de paquetes de personal suministrada por el usuario. Fecha: 5 de septiembre de 2026. Fila 8, campo '#'. Archivo: package_source_2026-09-05.jpeg.</t>
        </r>
      </text>
    </comment>
    <comment ref="C20" authorId="0">
      <text>
        <r>
          <rPr>
            <sz val="10"/>
            <rFont val="Arial"/>
            <family val="2"/>
          </rPr>
          <t xml:space="preserve">Fuente: Tabla de paquetes de personal suministrada por el usuario. Fecha: 5 de septiembre de 2026. Fila 9, campo '#'. Archivo: package_source_2026-09-05.jpeg.</t>
        </r>
      </text>
    </comment>
    <comment ref="D12" authorId="0">
      <text>
        <r>
          <rPr>
            <sz val="10"/>
            <rFont val="Arial"/>
            <family val="2"/>
          </rPr>
          <t xml:space="preserve">Fuente: Tabla de paquetes de personal suministrada por el usuario. Fecha: 5 de septiembre de 2026. Fila 1, campo 'Position'. Archivo: package_source_2026-09-05.jpeg.</t>
        </r>
      </text>
    </comment>
    <comment ref="D13" authorId="0">
      <text>
        <r>
          <rPr>
            <sz val="10"/>
            <rFont val="Arial"/>
            <family val="2"/>
          </rPr>
          <t xml:space="preserve">Fuente: Tabla de paquetes de personal suministrada por el usuario. Fecha: 5 de septiembre de 2026. Fila 2, campo 'Position'. Archivo: package_source_2026-09-05.jpeg.</t>
        </r>
      </text>
    </comment>
    <comment ref="D14" authorId="0">
      <text>
        <r>
          <rPr>
            <sz val="10"/>
            <rFont val="Arial"/>
            <family val="2"/>
          </rPr>
          <t xml:space="preserve">Fuente: Tabla de paquetes de personal suministrada por el usuario. Fecha: 5 de septiembre de 2026. Fila 3, campo 'Position'. Archivo: package_source_2026-09-05.jpeg.</t>
        </r>
      </text>
    </comment>
    <comment ref="D15" authorId="0">
      <text>
        <r>
          <rPr>
            <sz val="10"/>
            <rFont val="Arial"/>
            <family val="2"/>
          </rPr>
          <t xml:space="preserve">Fuente: Tabla de paquetes de personal suministrada por el usuario. Fecha: 5 de septiembre de 2026. Fila 4, campo 'Position'. Archivo: package_source_2026-09-05.jpeg.</t>
        </r>
      </text>
    </comment>
    <comment ref="D16" authorId="0">
      <text>
        <r>
          <rPr>
            <sz val="10"/>
            <rFont val="Arial"/>
            <family val="2"/>
          </rPr>
          <t xml:space="preserve">Fuente: Tabla de paquetes de personal suministrada por el usuario. Fecha: 5 de septiembre de 2026. Fila 5, campo 'Position'. Archivo: package_source_2026-09-05.jpeg.</t>
        </r>
      </text>
    </comment>
    <comment ref="D17" authorId="0">
      <text>
        <r>
          <rPr>
            <sz val="10"/>
            <rFont val="Arial"/>
            <family val="2"/>
          </rPr>
          <t xml:space="preserve">Fuente: Tabla de paquetes de personal suministrada por el usuario. Fecha: 5 de septiembre de 2026. Fila 6, campo 'Position'. Archivo: package_source_2026-09-05.jpeg.</t>
        </r>
      </text>
    </comment>
    <comment ref="D18" authorId="0">
      <text>
        <r>
          <rPr>
            <sz val="10"/>
            <rFont val="Arial"/>
            <family val="2"/>
          </rPr>
          <t xml:space="preserve">Fuente: Tabla de paquetes de personal suministrada por el usuario. Fecha: 5 de septiembre de 2026. Fila 7, campo 'Position'. Archivo: package_source_2026-09-05.jpeg.</t>
        </r>
      </text>
    </comment>
    <comment ref="D19" authorId="0">
      <text>
        <r>
          <rPr>
            <sz val="10"/>
            <rFont val="Arial"/>
            <family val="2"/>
          </rPr>
          <t xml:space="preserve">Fuente: Tabla de paquetes de personal suministrada por el usuario. Fecha: 5 de septiembre de 2026. Fila 8, campo 'Position'. Archivo: package_source_2026-09-05.jpeg.</t>
        </r>
      </text>
    </comment>
    <comment ref="D20" authorId="0">
      <text>
        <r>
          <rPr>
            <sz val="10"/>
            <rFont val="Arial"/>
            <family val="2"/>
          </rPr>
          <t xml:space="preserve">Fuente: Tabla de paquetes de personal suministrada por el usuario. Fecha: 5 de septiembre de 2026. Fila 9, campo 'Position'. Archivo: package_source_2026-09-05.jpeg.</t>
        </r>
      </text>
    </comment>
    <comment ref="E12" authorId="0">
      <text>
        <r>
          <rPr>
            <sz val="10"/>
            <rFont val="Arial"/>
            <family val="2"/>
          </rPr>
          <t xml:space="preserve">Fuente: Tabla de paquetes de personal suministrada por el usuario. Fecha: 5 de septiembre de 2026. Fila 1, campo 'Person'. Archivo: package_source_2026-09-05.jpeg.</t>
        </r>
      </text>
    </comment>
    <comment ref="E13" authorId="0">
      <text>
        <r>
          <rPr>
            <sz val="10"/>
            <rFont val="Arial"/>
            <family val="2"/>
          </rPr>
          <t xml:space="preserve">Fuente: Tabla de paquetes de personal suministrada por el usuario. Fecha: 5 de septiembre de 2026. Fila 2, campo 'Person'. Archivo: package_source_2026-09-05.jpeg.</t>
        </r>
      </text>
    </comment>
    <comment ref="E14" authorId="0">
      <text>
        <r>
          <rPr>
            <sz val="10"/>
            <rFont val="Arial"/>
            <family val="2"/>
          </rPr>
          <t xml:space="preserve">Fuente: Tabla de paquetes de personal suministrada por el usuario. Fecha: 5 de septiembre de 2026. Fila 3, campo 'Person'. Archivo: package_source_2026-09-05.jpeg.</t>
        </r>
      </text>
    </comment>
    <comment ref="E15" authorId="0">
      <text>
        <r>
          <rPr>
            <sz val="10"/>
            <rFont val="Arial"/>
            <family val="2"/>
          </rPr>
          <t xml:space="preserve">Fuente: Tabla de paquetes de personal suministrada por el usuario. Fecha: 5 de septiembre de 2026. Fila 4, campo 'Person'. Archivo: package_source_2026-09-05.jpeg.</t>
        </r>
      </text>
    </comment>
    <comment ref="E16" authorId="0">
      <text>
        <r>
          <rPr>
            <sz val="10"/>
            <rFont val="Arial"/>
            <family val="2"/>
          </rPr>
          <t xml:space="preserve">Fuente: Tabla de paquetes de personal suministrada por el usuario. Fecha: 5 de septiembre de 2026. Fila 5, campo 'Person'. Archivo: package_source_2026-09-05.jpeg.</t>
        </r>
      </text>
    </comment>
    <comment ref="E17" authorId="0">
      <text>
        <r>
          <rPr>
            <sz val="10"/>
            <rFont val="Arial"/>
            <family val="2"/>
          </rPr>
          <t xml:space="preserve">Fuente: Tabla de paquetes de personal suministrada por el usuario. Fecha: 5 de septiembre de 2026. Fila 6, campo 'Person'. Archivo: package_source_2026-09-05.jpeg.</t>
        </r>
      </text>
    </comment>
    <comment ref="E18" authorId="0">
      <text>
        <r>
          <rPr>
            <sz val="10"/>
            <rFont val="Arial"/>
            <family val="2"/>
          </rPr>
          <t xml:space="preserve">Fuente: Tabla de paquetes de personal suministrada por el usuario. Fecha: 5 de septiembre de 2026. Fila 7, campo 'Person'. Archivo: package_source_2026-09-05.jpeg.</t>
        </r>
      </text>
    </comment>
    <comment ref="E19" authorId="0">
      <text>
        <r>
          <rPr>
            <sz val="10"/>
            <rFont val="Arial"/>
            <family val="2"/>
          </rPr>
          <t xml:space="preserve">Fuente: Tabla de paquetes de personal suministrada por el usuario. Fecha: 5 de septiembre de 2026. Fila 8, campo 'Person'. Archivo: package_source_2026-09-05.jpeg.</t>
        </r>
      </text>
    </comment>
    <comment ref="E20" authorId="0">
      <text>
        <r>
          <rPr>
            <sz val="10"/>
            <rFont val="Arial"/>
            <family val="2"/>
          </rPr>
          <t xml:space="preserve">Fuente: instrucción de la gerencia recibida el 5 de septiembre de 2026. La posición Operations Support fue renombrada manualmente a TBD en la hoja Resumen.</t>
        </r>
      </text>
    </comment>
    <comment ref="F12" authorId="0">
      <text>
        <r>
          <rPr>
            <sz val="10"/>
            <rFont val="Arial"/>
            <family val="2"/>
          </rPr>
          <t xml:space="preserve">Fuente: Tabla de paquetes de personal suministrada por el usuario. Fecha: 5 de septiembre de 2026. Fila 1, campo 'Base Salary (Annual)'. Archivo: package_source_2026-09-05.jpeg.</t>
        </r>
      </text>
    </comment>
    <comment ref="F13" authorId="0">
      <text>
        <r>
          <rPr>
            <sz val="10"/>
            <rFont val="Arial"/>
            <family val="2"/>
          </rPr>
          <t xml:space="preserve">Fuente: Tabla de paquetes de personal suministrada por el usuario. Fecha: 5 de septiembre de 2026. Fila 2, campo 'Base Salary (Annual)'. Archivo: package_source_2026-09-05.jpeg.</t>
        </r>
      </text>
    </comment>
    <comment ref="F14" authorId="0">
      <text>
        <r>
          <rPr>
            <sz val="10"/>
            <rFont val="Arial"/>
            <family val="2"/>
          </rPr>
          <t xml:space="preserve">Fuente: Tabla de paquetes de personal suministrada por el usuario. Fecha: 5 de septiembre de 2026. Fila 3, campo 'Base Salary (Annual)'. Archivo: package_source_2026-09-05.jpeg.</t>
        </r>
      </text>
    </comment>
    <comment ref="F15" authorId="0">
      <text>
        <r>
          <rPr>
            <sz val="10"/>
            <rFont val="Arial"/>
            <family val="2"/>
          </rPr>
          <t xml:space="preserve">Fuente: Tabla de paquetes de personal suministrada por el usuario. Fecha: 5 de septiembre de 2026. Fila 4, campo 'Base Salary (Annual)'. Archivo: package_source_2026-09-05.jpeg.</t>
        </r>
      </text>
    </comment>
    <comment ref="F16" authorId="0">
      <text>
        <r>
          <rPr>
            <sz val="10"/>
            <rFont val="Arial"/>
            <family val="2"/>
          </rPr>
          <t xml:space="preserve">Fuente: Tabla de paquetes de personal suministrada por el usuario. Fecha: 5 de septiembre de 2026. Fila 5, campo 'Base Salary (Annual)'. Archivo: package_source_2026-09-05.jpeg.</t>
        </r>
      </text>
    </comment>
    <comment ref="F17" authorId="0">
      <text>
        <r>
          <rPr>
            <sz val="10"/>
            <rFont val="Arial"/>
            <family val="2"/>
          </rPr>
          <t xml:space="preserve">Fuente: Tabla de paquetes de personal suministrada por el usuario. Fecha: 5 de septiembre de 2026. Fila 6, campo 'Base Salary (Annual)'. Archivo: package_source_2026-09-05.jpeg.</t>
        </r>
      </text>
    </comment>
    <comment ref="F18" authorId="0">
      <text>
        <r>
          <rPr>
            <sz val="10"/>
            <rFont val="Arial"/>
            <family val="2"/>
          </rPr>
          <t xml:space="preserve">Fuente: Tabla de paquetes de personal suministrada por el usuario. Fecha: 5 de septiembre de 2026. Fila 7, campo 'Base Salary (Annual)'. Archivo: package_source_2026-09-05.jpeg.</t>
        </r>
      </text>
    </comment>
    <comment ref="F19" authorId="0">
      <text>
        <r>
          <rPr>
            <sz val="10"/>
            <rFont val="Arial"/>
            <family val="2"/>
          </rPr>
          <t xml:space="preserve">Fuente: Tabla de paquetes de personal suministrada por el usuario. Fecha: 5 de septiembre de 2026. Fila 8, campo 'Base Salary (Annual)'. Archivo: package_source_2026-09-05.jpeg.</t>
        </r>
      </text>
    </comment>
    <comment ref="F20" authorId="0">
      <text>
        <r>
          <rPr>
            <sz val="10"/>
            <rFont val="Arial"/>
            <family val="2"/>
          </rPr>
          <t xml:space="preserve">Fuente: Tabla de paquetes de personal suministrada por el usuario. Fecha: 5 de septiembre de 2026. Fila 9, campo 'Base Salary (Annual)'. Archivo: package_source_2026-09-05.jpeg.</t>
        </r>
      </text>
    </comment>
    <comment ref="G12" authorId="0">
      <text>
        <r>
          <rPr>
            <sz val="10"/>
            <rFont val="Arial"/>
            <family val="2"/>
          </rPr>
          <t xml:space="preserve">Fuente: Tabla de paquetes de personal suministrada por el usuario. Fecha: 5 de septiembre de 2026. Fila 1, campo 'Housing (Annual)'. Archivo: package_source_2026-09-05.jpeg.</t>
        </r>
      </text>
    </comment>
    <comment ref="G13" authorId="0">
      <text>
        <r>
          <rPr>
            <sz val="10"/>
            <rFont val="Arial"/>
            <family val="2"/>
          </rPr>
          <t xml:space="preserve">Fuente: instrucción de la gerencia recibida el 5 de septiembre de 2026. Housing anual de referencia se usa como presupuesto para allowance, staff house u hotel en Maracaibo.</t>
        </r>
      </text>
    </comment>
    <comment ref="G14" authorId="0">
      <text>
        <r>
          <rPr>
            <sz val="10"/>
            <rFont val="Arial"/>
            <family val="2"/>
          </rPr>
          <t xml:space="preserve">Fuente: Tabla de paquetes de personal suministrada por el usuario. Fecha: 5 de septiembre de 2026. Fila 3, campo 'Housing (Annual)'. Archivo: package_source_2026-09-05.jpeg.</t>
        </r>
      </text>
    </comment>
    <comment ref="G15" authorId="0">
      <text>
        <r>
          <rPr>
            <sz val="10"/>
            <rFont val="Arial"/>
            <family val="2"/>
          </rPr>
          <t xml:space="preserve">Fuente: instrucción de la gerencia recibida el 5 de septiembre de 2026. Housing anual de referencia se usa como presupuesto para allowance, staff house u hotel en Maracaibo.</t>
        </r>
      </text>
    </comment>
    <comment ref="G16" authorId="0">
      <text>
        <r>
          <rPr>
            <sz val="10"/>
            <rFont val="Arial"/>
            <family val="2"/>
          </rPr>
          <t xml:space="preserve">Fuente: tabla de paquetes suministrada por el usuario el 5 de septiembre de 2026. Housing anual de referencia para la etapa de consultoría M1–M6.</t>
        </r>
      </text>
    </comment>
    <comment ref="G17" authorId="0">
      <text>
        <r>
          <rPr>
            <sz val="10"/>
            <rFont val="Arial"/>
            <family val="2"/>
          </rPr>
          <t xml:space="preserve">Fuente: instrucción de la gerencia recibida el 5 de septiembre de 2026. JJI trabaja remoto y no recibe housing.</t>
        </r>
      </text>
    </comment>
    <comment ref="G18" authorId="0">
      <text>
        <r>
          <rPr>
            <sz val="10"/>
            <rFont val="Arial"/>
            <family val="2"/>
          </rPr>
          <t xml:space="preserve">Fuente: Tabla de paquetes de personal suministrada por el usuario. Fecha: 5 de septiembre de 2026. Fila 7, campo 'Housing (Annual)'. Archivo: package_source_2026-09-05.jpeg.</t>
        </r>
      </text>
    </comment>
    <comment ref="G19" authorId="0">
      <text>
        <r>
          <rPr>
            <sz val="10"/>
            <rFont val="Arial"/>
            <family val="2"/>
          </rPr>
          <t xml:space="preserve">Fuente: Tabla de paquetes de personal suministrada por el usuario. Fecha: 5 de septiembre de 2026. Fila 8, campo 'Housing (Annual)'. Archivo: package_source_2026-09-05.jpeg.</t>
        </r>
      </text>
    </comment>
    <comment ref="G20" authorId="0">
      <text>
        <r>
          <rPr>
            <sz val="10"/>
            <rFont val="Arial"/>
            <family val="2"/>
          </rPr>
          <t xml:space="preserve">Fuente: Tabla de paquetes de personal suministrada por el usuario. Fecha: 5 de septiembre de 2026. Fila 9, campo 'Housing (Annual)'. Archivo: package_source_2026-09-05.jpeg.</t>
        </r>
      </text>
    </comment>
    <comment ref="H12" authorId="0">
      <text>
        <r>
          <rPr>
            <sz val="10"/>
            <rFont val="Arial"/>
            <family val="2"/>
          </rPr>
          <t xml:space="preserve">Fuente: Tabla de paquetes de personal suministrada por el usuario. Fecha: 5 de septiembre de 2026. Fila 1, campo 'Medical Insurance'. Archivo: package_source_2026-09-05.jpeg.</t>
        </r>
      </text>
    </comment>
    <comment ref="H13" authorId="0">
      <text>
        <r>
          <rPr>
            <sz val="10"/>
            <rFont val="Arial"/>
            <family val="2"/>
          </rPr>
          <t xml:space="preserve">Fuente: Tabla de paquetes de personal suministrada por el usuario. Fecha: 5 de septiembre de 2026. Fila 2, campo 'Medical Insurance'. Archivo: package_source_2026-09-05.jpeg.</t>
        </r>
      </text>
    </comment>
    <comment ref="H14" authorId="0">
      <text>
        <r>
          <rPr>
            <sz val="10"/>
            <rFont val="Arial"/>
            <family val="2"/>
          </rPr>
          <t xml:space="preserve">Fuente: Tabla de paquetes de personal suministrada por el usuario. Fecha: 5 de septiembre de 2026. Fila 3, campo 'Medical Insurance'. Archivo: package_source_2026-09-05.jpeg.</t>
        </r>
      </text>
    </comment>
    <comment ref="H15" authorId="0">
      <text>
        <r>
          <rPr>
            <sz val="10"/>
            <rFont val="Arial"/>
            <family val="2"/>
          </rPr>
          <t xml:space="preserve">Fuente: Tabla de paquetes de personal suministrada por el usuario. Fecha: 5 de septiembre de 2026. Fila 4, campo 'Medical Insurance'. Archivo: package_source_2026-09-05.jpeg.</t>
        </r>
      </text>
    </comment>
    <comment ref="H16" authorId="0">
      <text>
        <r>
          <rPr>
            <sz val="10"/>
            <rFont val="Arial"/>
            <family val="2"/>
          </rPr>
          <t xml:space="preserve">Fuente: Tabla de paquetes de personal suministrada por el usuario. Fecha: 5 de septiembre de 2026. Fila 5, campo 'Medical Insurance'. Archivo: package_source_2026-09-05.jpeg.</t>
        </r>
      </text>
    </comment>
    <comment ref="H17" authorId="0">
      <text>
        <r>
          <rPr>
            <sz val="10"/>
            <rFont val="Arial"/>
            <family val="2"/>
          </rPr>
          <t xml:space="preserve">Fuente: instrucción de la gerencia recibida el 5 de septiembre de 2026. JJI trabaja remoto y no recibe seguro médico.</t>
        </r>
      </text>
    </comment>
    <comment ref="H18" authorId="0">
      <text>
        <r>
          <rPr>
            <sz val="10"/>
            <rFont val="Arial"/>
            <family val="2"/>
          </rPr>
          <t xml:space="preserve">Fuente: Tabla de paquetes de personal suministrada por el usuario. Fecha: 5 de septiembre de 2026. Fila 7, campo 'Medical Insurance'. Archivo: package_source_2026-09-05.jpeg.</t>
        </r>
      </text>
    </comment>
    <comment ref="H19" authorId="0">
      <text>
        <r>
          <rPr>
            <sz val="10"/>
            <rFont val="Arial"/>
            <family val="2"/>
          </rPr>
          <t xml:space="preserve">Fuente: Tabla de paquetes de personal suministrada por el usuario. Fecha: 5 de septiembre de 2026. Fila 8, campo 'Medical Insurance'. Archivo: package_source_2026-09-05.jpeg.</t>
        </r>
      </text>
    </comment>
    <comment ref="H20" authorId="0">
      <text>
        <r>
          <rPr>
            <sz val="10"/>
            <rFont val="Arial"/>
            <family val="2"/>
          </rPr>
          <t xml:space="preserve">Fuente: Tabla de paquetes de personal suministrada por el usuario. Fecha: 5 de septiembre de 2026. Fila 9, campo 'Medical Insurance'. Archivo: package_source_2026-09-05.jpeg.</t>
        </r>
      </text>
    </comment>
    <comment ref="I12" authorId="0">
      <text>
        <r>
          <rPr>
            <sz val="10"/>
            <rFont val="Arial"/>
            <family val="2"/>
          </rPr>
          <t xml:space="preserve">Fuente: Tabla de paquetes de personal suministrada por el usuario. Fecha: 5 de septiembre de 2026. Fila 1, campo 'Home Leave'. Archivo: package_source_2026-09-05.jpeg.</t>
        </r>
      </text>
    </comment>
    <comment ref="I13" authorId="0">
      <text>
        <r>
          <rPr>
            <sz val="10"/>
            <rFont val="Arial"/>
            <family val="2"/>
          </rPr>
          <t xml:space="preserve">Fuente: Tabla de paquetes de personal suministrada por el usuario. Fecha: 5 de septiembre de 2026. Fila 2, campo 'Home Leave'. Archivo: package_source_2026-09-05.jpeg.</t>
        </r>
      </text>
    </comment>
    <comment ref="I14" authorId="0">
      <text>
        <r>
          <rPr>
            <sz val="10"/>
            <rFont val="Arial"/>
            <family val="2"/>
          </rPr>
          <t xml:space="preserve">Fuente: Tabla de paquetes de personal suministrada por el usuario. Fecha: 5 de septiembre de 2026. Fila 3, campo 'Home Leave'. Archivo: package_source_2026-09-05.jpeg.</t>
        </r>
      </text>
    </comment>
    <comment ref="I15" authorId="0">
      <text>
        <r>
          <rPr>
            <sz val="10"/>
            <rFont val="Arial"/>
            <family val="2"/>
          </rPr>
          <t xml:space="preserve">Fuente: Tabla de paquetes de personal suministrada por el usuario. Fecha: 5 de septiembre de 2026. Fila 4, campo 'Home Leave'. Archivo: package_source_2026-09-05.jpeg.</t>
        </r>
      </text>
    </comment>
    <comment ref="I16" authorId="0">
      <text>
        <r>
          <rPr>
            <sz val="10"/>
            <rFont val="Arial"/>
            <family val="2"/>
          </rPr>
          <t xml:space="preserve">Fuente: Tabla de paquetes de personal suministrada por el usuario. Fecha: 5 de septiembre de 2026. Fila 5, campo 'Home Leave'. Archivo: package_source_2026-09-05.jpeg.</t>
        </r>
      </text>
    </comment>
    <comment ref="I17" authorId="0">
      <text>
        <r>
          <rPr>
            <sz val="10"/>
            <rFont val="Arial"/>
            <family val="2"/>
          </rPr>
          <t xml:space="preserve">Fuente: instrucción de la gerencia recibida el 5 de septiembre de 2026. JJI trabaja remoto y no recibe home leave.</t>
        </r>
      </text>
    </comment>
    <comment ref="I18" authorId="0">
      <text>
        <r>
          <rPr>
            <sz val="10"/>
            <rFont val="Arial"/>
            <family val="2"/>
          </rPr>
          <t xml:space="preserve">Fuente: Tabla de paquetes de personal suministrada por el usuario. Fecha: 5 de septiembre de 2026. Fila 7, campo 'Home Leave'. Archivo: package_source_2026-09-05.jpeg.</t>
        </r>
      </text>
    </comment>
    <comment ref="I19" authorId="0">
      <text>
        <r>
          <rPr>
            <sz val="10"/>
            <rFont val="Arial"/>
            <family val="2"/>
          </rPr>
          <t xml:space="preserve">Fuente: Tabla de paquetes de personal suministrada por el usuario. Fecha: 5 de septiembre de 2026. Fila 8, campo 'Home Leave'. Archivo: package_source_2026-09-05.jpeg.</t>
        </r>
      </text>
    </comment>
    <comment ref="I20" authorId="0">
      <text>
        <r>
          <rPr>
            <sz val="10"/>
            <rFont val="Arial"/>
            <family val="2"/>
          </rPr>
          <t xml:space="preserve">Fuente: Tabla de paquetes de personal suministrada por el usuario. Fecha: 5 de septiembre de 2026. Fila 9, campo 'Home Leave'. Archivo: package_source_2026-09-05.jpeg.</t>
        </r>
      </text>
    </comment>
    <comment ref="J12" authorId="0">
      <text>
        <r>
          <rPr>
            <sz val="10"/>
            <rFont val="Arial"/>
            <family val="2"/>
          </rPr>
          <t xml:space="preserve">Fuente: Tabla de paquetes de personal suministrada por el usuario. Fecha: 5 de septiembre de 2026. Fila 1, campo 'Company Vehicle'. Archivo: package_source_2026-09-05.jpeg.</t>
        </r>
      </text>
    </comment>
    <comment ref="J13" authorId="0">
      <text>
        <r>
          <rPr>
            <sz val="10"/>
            <rFont val="Arial"/>
            <family val="2"/>
          </rPr>
          <t xml:space="preserve">Fuente: instrucción de la gerencia recibida el 5 de septiembre de 2026. El importe de Vehicle representa transporte provisto por la compañía para ir al trabajo, no un vehículo personal garantizado.</t>
        </r>
      </text>
    </comment>
    <comment ref="J14" authorId="0">
      <text>
        <r>
          <rPr>
            <sz val="10"/>
            <rFont val="Arial"/>
            <family val="2"/>
          </rPr>
          <t xml:space="preserve">Fuente: instrucción de la gerencia recibida el 5 de septiembre de 2026. El importe de Vehicle representa transporte provisto por la compañía para ir al trabajo, no un vehículo personal garantizado.</t>
        </r>
      </text>
    </comment>
    <comment ref="J15" authorId="0">
      <text>
        <r>
          <rPr>
            <sz val="10"/>
            <rFont val="Arial"/>
            <family val="2"/>
          </rPr>
          <t xml:space="preserve">Fuente: instrucción de la gerencia recibida el 5 de septiembre de 2026. El importe de Vehicle representa transporte provisto por la compañía para ir al trabajo, no un vehículo personal garantizado.</t>
        </r>
      </text>
    </comment>
    <comment ref="J16" authorId="0">
      <text>
        <r>
          <rPr>
            <sz val="10"/>
            <rFont val="Arial"/>
            <family val="2"/>
          </rPr>
          <t xml:space="preserve">Fuente: Tabla de paquetes de personal suministrada por el usuario. Fecha: 5 de septiembre de 2026. Fila 5, campo 'Company Vehicle'. Archivo: package_source_2026-09-05.jpeg.</t>
        </r>
      </text>
    </comment>
    <comment ref="J17" authorId="0">
      <text>
        <r>
          <rPr>
            <sz val="10"/>
            <rFont val="Arial"/>
            <family val="2"/>
          </rPr>
          <t xml:space="preserve">Fuente: instrucción de la gerencia recibida el 5 de septiembre de 2026. JJI trabaja remoto y no recibe vehículo/transporte.</t>
        </r>
      </text>
    </comment>
    <comment ref="J18" authorId="0">
      <text>
        <r>
          <rPr>
            <sz val="10"/>
            <rFont val="Arial"/>
            <family val="2"/>
          </rPr>
          <t xml:space="preserve">Fuente: Tabla de paquetes de personal suministrada por el usuario. Fecha: 5 de septiembre de 2026. Fila 7, campo 'Company Vehicle'. Archivo: package_source_2026-09-05.jpeg.</t>
        </r>
      </text>
    </comment>
    <comment ref="J19" authorId="0">
      <text>
        <r>
          <rPr>
            <sz val="10"/>
            <rFont val="Arial"/>
            <family val="2"/>
          </rPr>
          <t xml:space="preserve">Fuente: Tabla de paquetes de personal suministrada por el usuario. Fecha: 5 de septiembre de 2026. Fila 8, campo 'Company Vehicle'. Archivo: package_source_2026-09-05.jpeg.</t>
        </r>
      </text>
    </comment>
    <comment ref="J20" authorId="0">
      <text>
        <r>
          <rPr>
            <sz val="10"/>
            <rFont val="Arial"/>
            <family val="2"/>
          </rPr>
          <t xml:space="preserve">Fuente: Tabla de paquetes de personal suministrada por el usuario. Fecha: 5 de septiembre de 2026. Fila 9, campo 'Company Vehicle'. Archivo: package_source_2026-09-05.jpeg.</t>
        </r>
      </text>
    </comment>
    <comment ref="K12" authorId="0">
      <text>
        <r>
          <rPr>
            <sz val="10"/>
            <rFont val="Arial"/>
            <family val="2"/>
          </rPr>
          <t xml:space="preserve">Fuente: Tabla de paquetes de personal suministrada por el usuario. Fecha: 5 de septiembre de 2026. Fila 1, campo 'Tax &amp; Social'. Archivo: package_source_2026-09-05.jpeg.</t>
        </r>
      </text>
    </comment>
    <comment ref="K13" authorId="0">
      <text>
        <r>
          <rPr>
            <sz val="10"/>
            <rFont val="Arial"/>
            <family val="2"/>
          </rPr>
          <t xml:space="preserve">Fuente: Tabla de paquetes de personal suministrada por el usuario. Fecha: 5 de septiembre de 2026. Fila 2, campo 'Tax &amp; Social'. Archivo: package_source_2026-09-05.jpeg.</t>
        </r>
      </text>
    </comment>
    <comment ref="K14" authorId="0">
      <text>
        <r>
          <rPr>
            <sz val="10"/>
            <rFont val="Arial"/>
            <family val="2"/>
          </rPr>
          <t xml:space="preserve">Fuente: Tabla de paquetes de personal suministrada por el usuario. Fecha: 5 de septiembre de 2026. Fila 3, campo 'Tax &amp; Social'. Archivo: package_source_2026-09-05.jpeg.</t>
        </r>
      </text>
    </comment>
    <comment ref="K15" authorId="0">
      <text>
        <r>
          <rPr>
            <sz val="10"/>
            <rFont val="Arial"/>
            <family val="2"/>
          </rPr>
          <t xml:space="preserve">Fuente: Tabla de paquetes de personal suministrada por el usuario. Fecha: 5 de septiembre de 2026. Fila 4, campo 'Tax &amp; Social'. Archivo: package_source_2026-09-05.jpeg.</t>
        </r>
      </text>
    </comment>
    <comment ref="K16" authorId="0">
      <text>
        <r>
          <rPr>
            <sz val="10"/>
            <rFont val="Arial"/>
            <family val="2"/>
          </rPr>
          <t xml:space="preserve">Fuente: Tabla de paquetes de personal suministrada por el usuario. Fecha: 5 de septiembre de 2026. Fila 5, campo 'Tax &amp; Social'. Archivo: package_source_2026-09-05.jpeg.</t>
        </r>
      </text>
    </comment>
    <comment ref="K17" authorId="0">
      <text>
        <r>
          <rPr>
            <sz val="10"/>
            <rFont val="Arial"/>
            <family val="2"/>
          </rPr>
          <t xml:space="preserve">Fuente: instrucción de la gerencia recibida el 5 de septiembre de 2026. JJI trabaja remoto y no recibe Tax &amp; Social empresarial.</t>
        </r>
      </text>
    </comment>
    <comment ref="K18" authorId="0">
      <text>
        <r>
          <rPr>
            <sz val="10"/>
            <rFont val="Arial"/>
            <family val="2"/>
          </rPr>
          <t xml:space="preserve">Fuente: Tabla de paquetes de personal suministrada por el usuario. Fecha: 5 de septiembre de 2026. Fila 7, campo 'Tax &amp; Social'. Archivo: package_source_2026-09-05.jpeg.</t>
        </r>
      </text>
    </comment>
    <comment ref="K19" authorId="0">
      <text>
        <r>
          <rPr>
            <sz val="10"/>
            <rFont val="Arial"/>
            <family val="2"/>
          </rPr>
          <t xml:space="preserve">Fuente: Tabla de paquetes de personal suministrada por el usuario. Fecha: 5 de septiembre de 2026. Fila 8, campo 'Tax &amp; Social'. Archivo: package_source_2026-09-05.jpeg.</t>
        </r>
      </text>
    </comment>
    <comment ref="K20" authorId="0">
      <text>
        <r>
          <rPr>
            <sz val="10"/>
            <rFont val="Arial"/>
            <family val="2"/>
          </rPr>
          <t xml:space="preserve">Fuente: Tabla de paquetes de personal suministrada por el usuario. Fecha: 5 de septiembre de 2026. Fila 9, campo 'Tax &amp; Social'. Archivo: package_source_2026-09-05.jpeg.</t>
        </r>
      </text>
    </comment>
    <comment ref="M12" authorId="0">
      <text>
        <r>
          <rPr>
            <sz val="10"/>
            <rFont val="Arial"/>
            <family val="2"/>
          </rPr>
          <t xml:space="preserve">Fuente: Tabla de paquetes de personal suministrada por el usuario. Fecha: 5 de septiembre de 2026. Fila 1, campo 'TOTAL Annual Package'. Archivo: package_source_2026-09-05.jpeg.</t>
        </r>
      </text>
    </comment>
    <comment ref="M13" authorId="0">
      <text>
        <r>
          <rPr>
            <sz val="10"/>
            <rFont val="Arial"/>
            <family val="2"/>
          </rPr>
          <t xml:space="preserve">Fuente: Tabla de paquetes de personal suministrada por el usuario. Fecha: 5 de septiembre de 2026. Fila 2, campo 'TOTAL Annual Package'. Archivo: package_source_2026-09-05.jpeg.</t>
        </r>
      </text>
    </comment>
    <comment ref="M14" authorId="0">
      <text>
        <r>
          <rPr>
            <sz val="10"/>
            <rFont val="Arial"/>
            <family val="2"/>
          </rPr>
          <t xml:space="preserve">Fuente: Tabla de paquetes de personal suministrada por el usuario. Fecha: 5 de septiembre de 2026. Fila 3, campo 'TOTAL Annual Package'. Archivo: package_source_2026-09-05.jpeg.</t>
        </r>
      </text>
    </comment>
    <comment ref="M15" authorId="0">
      <text>
        <r>
          <rPr>
            <sz val="10"/>
            <rFont val="Arial"/>
            <family val="2"/>
          </rPr>
          <t xml:space="preserve">Fuente: Tabla de paquetes de personal suministrada por el usuario. Fecha: 5 de septiembre de 2026. Fila 4, campo 'TOTAL Annual Package'. Archivo: package_source_2026-09-05.jpeg.</t>
        </r>
      </text>
    </comment>
    <comment ref="M16" authorId="0">
      <text>
        <r>
          <rPr>
            <sz val="10"/>
            <rFont val="Arial"/>
            <family val="2"/>
          </rPr>
          <t xml:space="preserve">Fuente: Tabla de paquetes de personal suministrada por el usuario. Fecha: 5 de septiembre de 2026. Fila 5, campo 'TOTAL Annual Package'. Archivo: package_source_2026-09-05.jpeg.</t>
        </r>
      </text>
    </comment>
    <comment ref="M17" authorId="0">
      <text>
        <r>
          <rPr>
            <sz val="10"/>
            <rFont val="Arial"/>
            <family val="2"/>
          </rPr>
          <t xml:space="preserve">Fuente: Tabla de paquetes de personal suministrada por el usuario. Fecha: 5 de septiembre de 2026. Fila 6, campo 'TOTAL Annual Package'. Archivo: package_source_2026-09-05.jpeg.</t>
        </r>
      </text>
    </comment>
    <comment ref="M18" authorId="0">
      <text>
        <r>
          <rPr>
            <sz val="10"/>
            <rFont val="Arial"/>
            <family val="2"/>
          </rPr>
          <t xml:space="preserve">Fuente: Tabla de paquetes de personal suministrada por el usuario. Fecha: 5 de septiembre de 2026. Fila 7, campo 'TOTAL Annual Package'. Archivo: package_source_2026-09-05.jpeg.</t>
        </r>
      </text>
    </comment>
    <comment ref="M19" authorId="0">
      <text>
        <r>
          <rPr>
            <sz val="10"/>
            <rFont val="Arial"/>
            <family val="2"/>
          </rPr>
          <t xml:space="preserve">Fuente: Tabla de paquetes de personal suministrada por el usuario. Fecha: 5 de septiembre de 2026. Fila 8, campo 'TOTAL Annual Package'. Archivo: package_source_2026-09-05.jpeg.</t>
        </r>
      </text>
    </comment>
    <comment ref="M20" authorId="0">
      <text>
        <r>
          <rPr>
            <sz val="10"/>
            <rFont val="Arial"/>
            <family val="2"/>
          </rPr>
          <t xml:space="preserve">Fuente: Tabla de paquetes de personal suministrada por el usuario. Fecha: 5 de septiembre de 2026. Fila 9, campo 'TOTAL Annual Package'. Archivo: package_source_2026-09-05.jpeg.</t>
        </r>
      </text>
    </comment>
    <comment ref="V12" authorId="0">
      <text>
        <r>
          <rPr>
            <sz val="10"/>
            <rFont val="Arial"/>
            <family val="2"/>
          </rPr>
          <t xml:space="preserve">Fuente: supuesto presupuestario del modelo preparado el 5 de septiembre de 2026. Clasificación inicial conservadora: se mantiene el paquete fuente hasta que la gerencia designe quién será repatriado.</t>
        </r>
      </text>
    </comment>
    <comment ref="V13" authorId="0">
      <text>
        <r>
          <rPr>
            <sz val="10"/>
            <rFont val="Arial"/>
            <family val="2"/>
          </rPr>
          <t xml:space="preserve">Fuente: instrucción de la gerencia recibida el 5 de septiembre de 2026. Clasificación confirmada por el usuario.</t>
        </r>
      </text>
    </comment>
    <comment ref="V14" authorId="0">
      <text>
        <r>
          <rPr>
            <sz val="10"/>
            <rFont val="Arial"/>
            <family val="2"/>
          </rPr>
          <t xml:space="preserve">Fuente: instrucción de la gerencia recibida el 5 de septiembre de 2026. Clasificación confirmada por el usuario.</t>
        </r>
      </text>
    </comment>
    <comment ref="V15" authorId="0">
      <text>
        <r>
          <rPr>
            <sz val="10"/>
            <rFont val="Arial"/>
            <family val="2"/>
          </rPr>
          <t xml:space="preserve">Fuente: instrucción de la gerencia recibida el 5 de septiembre de 2026. Mismo paquete que Juan Conde.</t>
        </r>
      </text>
    </comment>
    <comment ref="V16" authorId="0">
      <text>
        <r>
          <rPr>
            <sz val="10"/>
            <rFont val="Arial"/>
            <family val="2"/>
          </rPr>
          <t xml:space="preserve">Fuente: instrucción de la gerencia recibida el 5 de septiembre de 2026. Clasificación confirmada por el usuario.</t>
        </r>
      </text>
    </comment>
    <comment ref="V17" authorId="0">
      <text>
        <r>
          <rPr>
            <sz val="10"/>
            <rFont val="Arial"/>
            <family val="2"/>
          </rPr>
          <t xml:space="preserve">Fuente: instrucción de la gerencia recibida el 5 de septiembre de 2026. Condición remota confirmada por el usuario; sin beneficios.</t>
        </r>
      </text>
    </comment>
    <comment ref="V18" authorId="0">
      <text>
        <r>
          <rPr>
            <sz val="10"/>
            <rFont val="Arial"/>
            <family val="2"/>
          </rPr>
          <t xml:space="preserve">Fuente: instrucción de la gerencia recibida el 5 de septiembre de 2026. Clasificación preservada de la edición manual de la hoja Resumen; costo provisional igual al paquete fuente.</t>
        </r>
      </text>
    </comment>
    <comment ref="V19" authorId="0">
      <text>
        <r>
          <rPr>
            <sz val="10"/>
            <rFont val="Arial"/>
            <family val="2"/>
          </rPr>
          <t xml:space="preserve">Fuente: instrucción de la gerencia recibida el 5 de septiembre de 2026. Clasificación preservada de la edición manual de la hoja Resumen.</t>
        </r>
      </text>
    </comment>
    <comment ref="V20" authorId="0">
      <text>
        <r>
          <rPr>
            <sz val="10"/>
            <rFont val="Arial"/>
            <family val="2"/>
          </rPr>
          <t xml:space="preserve">Fuente: instrucción de la gerencia recibida el 5 de septiembre de 2026. Clasificación preservada de la edición manual de la hoja Resumen.</t>
        </r>
      </text>
    </comment>
    <comment ref="W12" authorId="0">
      <text>
        <r>
          <rPr>
            <sz val="10"/>
            <rFont val="Arial"/>
            <family val="2"/>
          </rPr>
          <t xml:space="preserve">Fuente: supuesto presupuestario del modelo preparado el 5 de septiembre de 2026. La ciudad debe decidirse para aplicar la política de vivienda.</t>
        </r>
      </text>
    </comment>
    <comment ref="W13" authorId="0">
      <text>
        <r>
          <rPr>
            <sz val="10"/>
            <rFont val="Arial"/>
            <family val="2"/>
          </rPr>
          <t xml:space="preserve">Fuente: instrucción de la gerencia recibida el 5 de septiembre de 2026. Ciudad presupuestaria inicial; si cambia a Caracas, la fórmula individual elimina housing.</t>
        </r>
      </text>
    </comment>
    <comment ref="W14" authorId="0">
      <text>
        <r>
          <rPr>
            <sz val="10"/>
            <rFont val="Arial"/>
            <family val="2"/>
          </rPr>
          <t xml:space="preserve">Fuente: instrucción de la gerencia recibida el 5 de septiembre de 2026. Vive en su propia casa en Maracaibo.</t>
        </r>
      </text>
    </comment>
    <comment ref="W15" authorId="0">
      <text>
        <r>
          <rPr>
            <sz val="10"/>
            <rFont val="Arial"/>
            <family val="2"/>
          </rPr>
          <t xml:space="preserve">Fuente: instrucción de la gerencia recibida el 5 de septiembre de 2026. Ciudad presupuestaria inicial; si cambia a Caracas, la fórmula individual elimina housing.</t>
        </r>
      </text>
    </comment>
    <comment ref="W16" authorId="0">
      <text>
        <r>
          <rPr>
            <sz val="10"/>
            <rFont val="Arial"/>
            <family val="2"/>
          </rPr>
          <t xml:space="preserve">Fuente: instrucción de la gerencia recibida el 5 de septiembre de 2026. Ciudad asumida para el presupuesto de housing indicado.</t>
        </r>
      </text>
    </comment>
    <comment ref="W17" authorId="0">
      <text>
        <r>
          <rPr>
            <sz val="10"/>
            <rFont val="Arial"/>
            <family val="2"/>
          </rPr>
          <t xml:space="preserve">Fuente: instrucción de la gerencia recibida el 5 de septiembre de 2026. No requiere ciudad de residencia de asignación.</t>
        </r>
      </text>
    </comment>
    <comment ref="W18" authorId="0">
      <text>
        <r>
          <rPr>
            <sz val="10"/>
            <rFont val="Arial"/>
            <family val="2"/>
          </rPr>
          <t xml:space="preserve">Fuente: instrucción de la gerencia recibida el 5 de septiembre de 2026. La ciudad no modifica provisionalmente el paquete On rotation.</t>
        </r>
      </text>
    </comment>
    <comment ref="W19" authorId="0">
      <text>
        <r>
          <rPr>
            <sz val="10"/>
            <rFont val="Arial"/>
            <family val="2"/>
          </rPr>
          <t xml:space="preserve">Fuente: instrucción de la gerencia recibida el 5 de septiembre de 2026. Ciudad asumida para reflejar el housing allowance existente indicado por el usuario.</t>
        </r>
      </text>
    </comment>
    <comment ref="W20" authorId="0">
      <text>
        <r>
          <rPr>
            <sz val="10"/>
            <rFont val="Arial"/>
            <family val="2"/>
          </rPr>
          <t xml:space="preserve">Fuente: supuesto presupuestario del modelo preparado el 5 de septiembre de 2026. La ciudad debe decidirse para aplicar la política de vivienda.</t>
        </r>
      </text>
    </comment>
    <comment ref="X12" authorId="0">
      <text>
        <r>
          <rPr>
            <sz val="10"/>
            <rFont val="Arial"/>
            <family val="2"/>
          </rPr>
          <t xml:space="preserve">Fuente: supuesto presupuestario del modelo preparado el 5 de septiembre de 2026. Usa la política de ciudad de la hoja Supuestos; puede reemplazarse por Sí o No.</t>
        </r>
      </text>
    </comment>
    <comment ref="X13" authorId="0">
      <text>
        <r>
          <rPr>
            <sz val="10"/>
            <rFont val="Arial"/>
            <family val="2"/>
          </rPr>
          <t xml:space="preserve">Fuente: instrucción de la gerencia recibida el 5 de septiembre de 2026. Regla individual: Caracas sin housing; Maracaibo con allowance, staff house u hotel.</t>
        </r>
      </text>
    </comment>
    <comment ref="X14" authorId="0">
      <text>
        <r>
          <rPr>
            <sz val="10"/>
            <rFont val="Arial"/>
            <family val="2"/>
          </rPr>
          <t xml:space="preserve">Fuente: instrucción de la gerencia recibida el 5 de septiembre de 2026. Sin housing allowance por vivienda propia.</t>
        </r>
      </text>
    </comment>
    <comment ref="X15" authorId="0">
      <text>
        <r>
          <rPr>
            <sz val="10"/>
            <rFont val="Arial"/>
            <family val="2"/>
          </rPr>
          <t xml:space="preserve">Fuente: instrucción de la gerencia recibida el 5 de septiembre de 2026. Regla individual: Caracas sin housing; Maracaibo con allowance, staff house u hotel.</t>
        </r>
      </text>
    </comment>
    <comment ref="X16" authorId="0">
      <text>
        <r>
          <rPr>
            <sz val="10"/>
            <rFont val="Arial"/>
            <family val="2"/>
          </rPr>
          <t xml:space="preserve">Fuente: instrucción de la gerencia recibida el 5 de septiembre de 2026. Housing allowance confirmado para condición expatriada.</t>
        </r>
      </text>
    </comment>
    <comment ref="X17" authorId="0">
      <text>
        <r>
          <rPr>
            <sz val="10"/>
            <rFont val="Arial"/>
            <family val="2"/>
          </rPr>
          <t xml:space="preserve">Fuente: instrucción de la gerencia recibida el 5 de septiembre de 2026. Sin housing ni otros beneficios por condición remota.</t>
        </r>
      </text>
    </comment>
    <comment ref="X18" authorId="0">
      <text>
        <r>
          <rPr>
            <sz val="10"/>
            <rFont val="Arial"/>
            <family val="2"/>
          </rPr>
          <t xml:space="preserve">Fuente: supuesto presupuestario del modelo preparado el 5 de septiembre de 2026. Usa la política de ciudad de la hoja Supuestos; puede reemplazarse por Sí o No.</t>
        </r>
      </text>
    </comment>
    <comment ref="X19" authorId="0">
      <text>
        <r>
          <rPr>
            <sz val="10"/>
            <rFont val="Arial"/>
            <family val="2"/>
          </rPr>
          <t xml:space="preserve">Fuente: instrucción de la gerencia recibida el 5 de septiembre de 2026. Se mantiene el housing anual fuente como supuesto; confirmar importe y política.</t>
        </r>
      </text>
    </comment>
    <comment ref="X20" authorId="0">
      <text>
        <r>
          <rPr>
            <sz val="10"/>
            <rFont val="Arial"/>
            <family val="2"/>
          </rPr>
          <t xml:space="preserve">Fuente: supuesto presupuestario del modelo preparado el 5 de septiembre de 2026. Usa la política de ciudad de la hoja Supuestos; puede reemplazarse por Sí o No.</t>
        </r>
      </text>
    </comment>
    <comment ref="Z12"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3"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4"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5"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6"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7"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8"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19"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Z20" authorId="0">
      <text>
        <r>
          <rPr>
            <sz val="10"/>
            <rFont val="Arial"/>
            <family val="2"/>
          </rPr>
          <t xml:space="preserve">Fuente: supuesto presupuestario del modelo preparado el 5 de septiembre de 2026. Entrada pendiente de cotizaciones: mudanza, viaje, permisos, asesoría, alojamiento temporal y settling-in.</t>
        </r>
      </text>
    </comment>
    <comment ref="AJ13" authorId="0">
      <text>
        <r>
          <rPr>
            <sz val="10"/>
            <rFont val="Arial"/>
            <family val="2"/>
          </rPr>
          <t xml:space="preserve">Fuente: instrucción de la gerencia recibida el 5 de septiembre de 2026. Bonus objetivo equivalente a cuatro meses de salario base anual; se acumula desde M7.</t>
        </r>
      </text>
    </comment>
    <comment ref="AJ14" authorId="0">
      <text>
        <r>
          <rPr>
            <sz val="10"/>
            <rFont val="Arial"/>
            <family val="2"/>
          </rPr>
          <t xml:space="preserve">Fuente: instrucción de la gerencia recibida el 5 de septiembre de 2026. Bonus objetivo equivalente a cuatro meses de salario base anual; se acumula desde M7.</t>
        </r>
      </text>
    </comment>
    <comment ref="AJ15" authorId="0">
      <text>
        <r>
          <rPr>
            <sz val="10"/>
            <rFont val="Arial"/>
            <family val="2"/>
          </rPr>
          <t xml:space="preserve">Fuente: instrucción de la gerencia recibida el 5 de septiembre de 2026. Bonus objetivo equivalente a cuatro meses de salario base anual; se acumula desde M7.</t>
        </r>
      </text>
    </comment>
    <comment ref="AK13" authorId="0">
      <text>
        <r>
          <rPr>
            <sz val="10"/>
            <rFont val="Arial"/>
            <family val="2"/>
          </rPr>
          <t xml:space="preserve">Fuente: instrucción de la gerencia recibida el 5 de septiembre de 2026. Stock options incluidas como beneficio, pero su valor anual permanece TBD y se excluye del costo hasta aprobación del plan y valoración.</t>
        </r>
      </text>
    </comment>
    <comment ref="AK14" authorId="0">
      <text>
        <r>
          <rPr>
            <sz val="10"/>
            <rFont val="Arial"/>
            <family val="2"/>
          </rPr>
          <t xml:space="preserve">Fuente: instrucción de la gerencia recibida el 5 de septiembre de 2026. Stock options incluidas como beneficio, pero su valor anual permanece TBD y se excluye del costo hasta aprobación del plan y valoración.</t>
        </r>
      </text>
    </comment>
    <comment ref="AK15" authorId="0">
      <text>
        <r>
          <rPr>
            <sz val="10"/>
            <rFont val="Arial"/>
            <family val="2"/>
          </rPr>
          <t xml:space="preserve">Fuente: instrucción de la gerencia recibida el 5 de septiembre de 2026. Stock options incluidas como beneficio, pero su valor anual permanece TBD y se excluye del costo hasta aprobación del plan y valoración.</t>
        </r>
      </text>
    </comment>
    <comment ref="AL13"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L14"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L15"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M13"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M14"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M15" authorId="0">
      <text>
        <r>
          <rPr>
            <sz val="10"/>
            <rFont val="Arial"/>
            <family val="2"/>
          </rPr>
          <t xml:space="preserve">Fuente: instrucción de la gerencia recibida el 5 de septiembre de 2026. Se interpretó '13 de vacaciones' como 13 días de vacaciones pagadas; confirmar con Recursos Humanos. No se añade costo separado al salario.</t>
        </r>
      </text>
    </comment>
    <comment ref="AM16" authorId="0">
      <text>
        <r>
          <rPr>
            <sz val="10"/>
            <rFont val="Arial"/>
            <family val="2"/>
          </rPr>
          <t xml:space="preserve">Fuente: instrucción de la gerencia recibida el 5 de septiembre de 2026. Housing allowance expatriado de USD 1,000 por mes desde M7; no modifica la etapa inicial como consultor.</t>
        </r>
      </text>
    </comment>
  </commentList>
</comments>
</file>

<file path=xl/sharedStrings.xml><?xml version="1.0" encoding="utf-8"?>
<sst xmlns="http://schemas.openxmlformats.org/spreadsheetml/2006/main" count="331" uniqueCount="241">
  <si>
    <t xml:space="preserve">Resumen ejecutivo — Paquetes de personal</t>
  </si>
  <si>
    <t xml:space="preserve">Presupuesto por persona en dos etapas y escenarios de decisión desde el mes 7</t>
  </si>
  <si>
    <t xml:space="preserve">USD | Escenarios de repatriación excluyen costos únicos de transición hasta recibir cotizaciones</t>
  </si>
  <si>
    <t xml:space="preserve">INDICADORES DEL ESCENARIO SELECCIONADO</t>
  </si>
  <si>
    <t xml:space="preserve">Indicador</t>
  </si>
  <si>
    <t xml:space="preserve">Valor</t>
  </si>
  <si>
    <t xml:space="preserve">Interpretación</t>
  </si>
  <si>
    <t xml:space="preserve">Fuente</t>
  </si>
  <si>
    <t xml:space="preserve">Estado</t>
  </si>
  <si>
    <t xml:space="preserve">Costo anual original</t>
  </si>
  <si>
    <t xml:space="preserve">Paquete anual fuente para 9 posiciones</t>
  </si>
  <si>
    <t xml:space="preserve">Tabla suministrada</t>
  </si>
  <si>
    <t xml:space="preserve">Referencia</t>
  </si>
  <si>
    <t xml:space="preserve">Etapa 1 — Consultor M1–M6</t>
  </si>
  <si>
    <t xml:space="preserve">Todos los componentes no fiscales prorrateados por seis meses</t>
  </si>
  <si>
    <t xml:space="preserve">Modelo</t>
  </si>
  <si>
    <t xml:space="preserve">Calculado</t>
  </si>
  <si>
    <t xml:space="preserve">Etapa 2 — Selección M7–M12</t>
  </si>
  <si>
    <t xml:space="preserve">Paquete y ciudad elegidos por persona, más costos únicos</t>
  </si>
  <si>
    <t xml:space="preserve">Pendiente de decisiones</t>
  </si>
  <si>
    <t xml:space="preserve">Costo total Año 1</t>
  </si>
  <si>
    <t xml:space="preserve">Etapa 1 + etapa 2 seleccionada</t>
  </si>
  <si>
    <t xml:space="preserve">Ahorro / (sobrecosto) vs. fuente</t>
  </si>
  <si>
    <t xml:space="preserve">Costo anual original menos Año 1 seleccionado</t>
  </si>
  <si>
    <t xml:space="preserve">Run-rate anual desde M13</t>
  </si>
  <si>
    <t xml:space="preserve">Costo anual recurrente posterior a la transición</t>
  </si>
  <si>
    <t xml:space="preserve">Personas con decisión pendiente</t>
  </si>
  <si>
    <t xml:space="preserve">Requieren paquete, ciudad o vivienda</t>
  </si>
  <si>
    <t xml:space="preserve">Acción requerida</t>
  </si>
  <si>
    <t xml:space="preserve">COMPARACIÓN DE ESCENARIOS — 9 POSICIONES</t>
  </si>
  <si>
    <t xml:space="preserve">Escenario</t>
  </si>
  <si>
    <t xml:space="preserve">Etapa 1 M1–M6</t>
  </si>
  <si>
    <t xml:space="preserve">Etapa 2 M7–M12</t>
  </si>
  <si>
    <t xml:space="preserve">Costo Año 1</t>
  </si>
  <si>
    <t xml:space="preserve">Ahorro vs. fuente</t>
  </si>
  <si>
    <t xml:space="preserve">Run-rate M13+</t>
  </si>
  <si>
    <t xml:space="preserve">Selección actual por persona</t>
  </si>
  <si>
    <t xml:space="preserve">Todos expatriados — empresa cubre impuesto</t>
  </si>
  <si>
    <t xml:space="preserve">Todos repatriados — con housing; empleado paga impuesto</t>
  </si>
  <si>
    <t xml:space="preserve">Todos repatriados — sin housing; empleado paga impuesto</t>
  </si>
  <si>
    <t xml:space="preserve">DETALLE EJECUTIVO POR PERSONA</t>
  </si>
  <si>
    <t xml:space="preserve">Person</t>
  </si>
  <si>
    <t xml:space="preserve">Position</t>
  </si>
  <si>
    <t xml:space="preserve">Package M7+</t>
  </si>
  <si>
    <t xml:space="preserve">City</t>
  </si>
  <si>
    <t xml:space="preserve">Stage 1</t>
  </si>
  <si>
    <t xml:space="preserve">Stage 2</t>
  </si>
  <si>
    <t xml:space="preserve">Year 1</t>
  </si>
  <si>
    <t xml:space="preserve">DECISIONES NECESARIAS</t>
  </si>
  <si>
    <t xml:space="preserve">1. Designar por persona si desde el mes 7 será Repatriado o Expatriado.</t>
  </si>
  <si>
    <t xml:space="preserve">2. Confirmar ciudad de residencia: Caracas, Maracaibo u otra.</t>
  </si>
  <si>
    <t xml:space="preserve">3. Validar la política inicial: Caracas con housing; Maracaibo sin housing para repatriados.</t>
  </si>
  <si>
    <t xml:space="preserve">4. Confirmar por escrito que el expatriado recibe protección / gross-up fiscal y que el repatriado asume su impuesto personal.</t>
  </si>
  <si>
    <t xml:space="preserve">5. Incorporar costos únicos cotizados y obtener dictamen escrito de inmigración, laboral y fiscal.</t>
  </si>
  <si>
    <t xml:space="preserve">PUENTE DE COSTO — ESCENARIO PREVIO VS. PAQUETES INDIVIDUALES</t>
  </si>
  <si>
    <t xml:space="preserve">Previous Expat Year 1</t>
  </si>
  <si>
    <t xml:space="preserve">Selected Year 1</t>
  </si>
  <si>
    <t xml:space="preserve">Savings / (Overcost)</t>
  </si>
  <si>
    <t xml:space="preserve">Reason</t>
  </si>
  <si>
    <t xml:space="preserve">Martin del Castillo</t>
  </si>
  <si>
    <t xml:space="preserve">Sin cambio frente al paquete previo.</t>
  </si>
  <si>
    <t xml:space="preserve">Juan Conde</t>
  </si>
  <si>
    <t xml:space="preserve">Ahorro de impuesto y home leave compensado por bonus de 4 meses; neto: sobrecosto.</t>
  </si>
  <si>
    <t xml:space="preserve">Alexander Stulme</t>
  </si>
  <si>
    <t xml:space="preserve">Sin housing, impuesto ni home leave; el bonus absorbe la mayor parte del ahorro.</t>
  </si>
  <si>
    <t xml:space="preserve">Félix Valderrama</t>
  </si>
  <si>
    <t xml:space="preserve">Alan McKeon</t>
  </si>
  <si>
    <t xml:space="preserve">Housing M7+ baja de $2.000 a $1.000 por mes.</t>
  </si>
  <si>
    <t xml:space="preserve">JJI</t>
  </si>
  <si>
    <t xml:space="preserve">Remote con salario base solamente; se eliminan todos los beneficios.</t>
  </si>
  <si>
    <t xml:space="preserve">Marcelo Dantas</t>
  </si>
  <si>
    <t xml:space="preserve">On rotation sin cambio provisional de costo.</t>
  </si>
  <si>
    <t xml:space="preserve">Jose Miguel</t>
  </si>
  <si>
    <t xml:space="preserve">Local: mantiene housing; empleado asume impuesto personal.</t>
  </si>
  <si>
    <t xml:space="preserve">TBD</t>
  </si>
  <si>
    <t xml:space="preserve">Local provisional: se eliminan impuesto empresarial y home leave.</t>
  </si>
  <si>
    <t xml:space="preserve">TOTAL — 9 POSICIONES</t>
  </si>
  <si>
    <t xml:space="preserve">La reducción neta es limitada porque $72.000 + $60.000 + $72.000 de bonus anual compensan ahorros fiscales y de beneficios.</t>
  </si>
  <si>
    <t xml:space="preserve">Supuestos y política de paquetes</t>
  </si>
  <si>
    <t xml:space="preserve">Variables editables para el modelo de compensación en dos etapas</t>
  </si>
  <si>
    <t xml:space="preserve">USD, salvo indicación contraria | Celdas azules = entradas editables</t>
  </si>
  <si>
    <t xml:space="preserve">SUPUESTOS DE DURACIÓN Y FISCALIDAD</t>
  </si>
  <si>
    <t xml:space="preserve">Meses de la etapa 1 — Consultor</t>
  </si>
  <si>
    <t xml:space="preserve">Meses de la etapa 2 — Repatriado / Expatriado</t>
  </si>
  <si>
    <t xml:space="preserve">Factor de Tax &amp; Social en la etapa 1</t>
  </si>
  <si>
    <t xml:space="preserve">Factor de Tax &amp; Social pagado por la empresa — Repatriado M7+</t>
  </si>
  <si>
    <t xml:space="preserve">Factor de Tax &amp; Social pagado por la empresa — Expatriado M7+</t>
  </si>
  <si>
    <t xml:space="preserve">POLÍTICA AUTOMÁTICA DE VIVIENDA POR CIUDAD</t>
  </si>
  <si>
    <t xml:space="preserve">Ciudad</t>
  </si>
  <si>
    <t xml:space="preserve">Housing automático</t>
  </si>
  <si>
    <t xml:space="preserve">Racional presupuestario</t>
  </si>
  <si>
    <t xml:space="preserve">Editable</t>
  </si>
  <si>
    <t xml:space="preserve">Caracas</t>
  </si>
  <si>
    <t xml:space="preserve">Sí</t>
  </si>
  <si>
    <t xml:space="preserve">Se presupone allowance si la persona debe residir en Caracas.</t>
  </si>
  <si>
    <t xml:space="preserve">Maracaibo</t>
  </si>
  <si>
    <t xml:space="preserve">No</t>
  </si>
  <si>
    <t xml:space="preserve">Se presupone sin allowance para repatriados radicados en Maracaibo.</t>
  </si>
  <si>
    <t xml:space="preserve">Otro</t>
  </si>
  <si>
    <t xml:space="preserve">Enfoque conservador hasta confirmar alojamiento.</t>
  </si>
  <si>
    <t xml:space="preserve">Por definir</t>
  </si>
  <si>
    <t xml:space="preserve">El cálculo conservador incluye vivienda si el paquete es repatriado.</t>
  </si>
  <si>
    <t xml:space="preserve">COMPONENTES DE CADA PAQUETE</t>
  </si>
  <si>
    <t xml:space="preserve">Componente</t>
  </si>
  <si>
    <t xml:space="preserve">Consultor M1–M6</t>
  </si>
  <si>
    <t xml:space="preserve">Repatriado M7+</t>
  </si>
  <si>
    <t xml:space="preserve">Expatriado M7+</t>
  </si>
  <si>
    <t xml:space="preserve">Criterio</t>
  </si>
  <si>
    <t xml:space="preserve">Observación</t>
  </si>
  <si>
    <t xml:space="preserve">Compensación base</t>
  </si>
  <si>
    <t xml:space="preserve">Sí — honorario prorrateado</t>
  </si>
  <si>
    <t xml:space="preserve">Sí — salario local</t>
  </si>
  <si>
    <t xml:space="preserve">Sí — salario base</t>
  </si>
  <si>
    <t xml:space="preserve">Valor fuente por persona</t>
  </si>
  <si>
    <t xml:space="preserve">El modelo usa 6/12 del importe anual en cada etapa.</t>
  </si>
  <si>
    <t xml:space="preserve">Housing</t>
  </si>
  <si>
    <t xml:space="preserve">Condicional por ciudad / override</t>
  </si>
  <si>
    <t xml:space="preserve">Caracas = Sí y Maracaibo = No como política inicial editable.</t>
  </si>
  <si>
    <t xml:space="preserve">Seguro médico</t>
  </si>
  <si>
    <t xml:space="preserve">Prorrateado por meses.</t>
  </si>
  <si>
    <t xml:space="preserve">Home leave</t>
  </si>
  <si>
    <t xml:space="preserve">Se elimina en el paquete de repatriado.</t>
  </si>
  <si>
    <t xml:space="preserve">Vehículo</t>
  </si>
  <si>
    <t xml:space="preserve">Impuesto del país de trabajo</t>
  </si>
  <si>
    <t xml:space="preserve">No cubierto en el modelo</t>
  </si>
  <si>
    <t xml:space="preserve">Lo asume el empleado</t>
  </si>
  <si>
    <t xml:space="preserve">Lo cubre / neutraliza la empresa</t>
  </si>
  <si>
    <t xml:space="preserve">Factores editables</t>
  </si>
  <si>
    <t xml:space="preserve">Repatriado: factor empresa 0%; expatriado: factor empresa 100% por defecto.</t>
  </si>
  <si>
    <t xml:space="preserve">Costos únicos de transición</t>
  </si>
  <si>
    <t xml:space="preserve">No incluidos</t>
  </si>
  <si>
    <t xml:space="preserve">Entrada individual</t>
  </si>
  <si>
    <t xml:space="preserve">Cotizaciones pendientes</t>
  </si>
  <si>
    <t xml:space="preserve">El modelo parte de $0 hasta recibir presupuestos de viaje, mudanza, permisos y alojamiento temporal.</t>
  </si>
  <si>
    <t xml:space="preserve">ADVERTENCIA DE CUMPLIMIENTO</t>
  </si>
  <si>
    <t xml:space="preserve">El tratamiento de los meses 1–6 como consultoría sin Tax &amp; Social venezolano es un supuesto presupuestario indicado por la gerencia, no una conclusión jurídica. La condición migratoria de turista no acredita por sí sola autorización para trabajar ni exención fiscal. Antes de implementar el esquema, se requiere validación escrita de asesores venezolanos de inmigración, derecho laboral, nómina y tributos.</t>
  </si>
  <si>
    <t xml:space="preserve">Modelo de paquetes por persona</t>
  </si>
  <si>
    <t xml:space="preserve">Etapa 1: seis meses como consultor | Etapa 2: repatriado o expatriado desde el mes 7</t>
  </si>
  <si>
    <t xml:space="preserve">USD | Celdas azules = datos fuente o decisiones editables; fórmulas verdes = vínculos a Supuestos</t>
  </si>
  <si>
    <t xml:space="preserve">BASE DE COMPENSACIÓN Y CÁLCULO POR PERSONA</t>
  </si>
  <si>
    <t xml:space="preserve">#</t>
  </si>
  <si>
    <t xml:space="preserve">Base Salary
Annual</t>
  </si>
  <si>
    <t xml:space="preserve">Housing
Annual</t>
  </si>
  <si>
    <t xml:space="preserve">Medical
Annual</t>
  </si>
  <si>
    <t xml:space="preserve">Home Leave
Annual</t>
  </si>
  <si>
    <t xml:space="preserve">Vehicle
Annual</t>
  </si>
  <si>
    <t xml:space="preserve">Tax &amp; Social
Annual</t>
  </si>
  <si>
    <t xml:space="preserve">Calculated
Annual</t>
  </si>
  <si>
    <t xml:space="preserve">Stated
Annual</t>
  </si>
  <si>
    <t xml:space="preserve">Variance</t>
  </si>
  <si>
    <t xml:space="preserve">Consulting Fee
M1–M6</t>
  </si>
  <si>
    <t xml:space="preserve">Housing
M1–M6</t>
  </si>
  <si>
    <t xml:space="preserve">Medical
M1–M6</t>
  </si>
  <si>
    <t xml:space="preserve">Home Leave
M1–M6</t>
  </si>
  <si>
    <t xml:space="preserve">Vehicle
M1–M6</t>
  </si>
  <si>
    <t xml:space="preserve">Tax &amp; Social
M1–M6</t>
  </si>
  <si>
    <t xml:space="preserve">Stage 1
Total</t>
  </si>
  <si>
    <t xml:space="preserve">Package
M7+</t>
  </si>
  <si>
    <t xml:space="preserve">City
M7+</t>
  </si>
  <si>
    <t xml:space="preserve">Housing
Override</t>
  </si>
  <si>
    <t xml:space="preserve">Housing
Final</t>
  </si>
  <si>
    <t xml:space="preserve">One-time
Transition</t>
  </si>
  <si>
    <t xml:space="preserve">Stage 2 Recurring
M7–M12</t>
  </si>
  <si>
    <t xml:space="preserve">Stage 2
Total</t>
  </si>
  <si>
    <t xml:space="preserve">Year 1
Total</t>
  </si>
  <si>
    <t xml:space="preserve">Savings vs.
Source</t>
  </si>
  <si>
    <t xml:space="preserve">Annual Run-rate
M13+</t>
  </si>
  <si>
    <t xml:space="preserve">Decision
Status</t>
  </si>
  <si>
    <t xml:space="preserve">Monthly Cost
M1–M6</t>
  </si>
  <si>
    <t xml:space="preserve">Selected Monthly
M7+</t>
  </si>
  <si>
    <t xml:space="preserve">M7 incl.
Transition</t>
  </si>
  <si>
    <t xml:space="preserve">Annual Bonus
M7+</t>
  </si>
  <si>
    <t xml:space="preserve">Stock Options
Annual Value (TBD)</t>
  </si>
  <si>
    <t xml:space="preserve">Vacation
Days</t>
  </si>
  <si>
    <t xml:space="preserve">Housing M7+
Annual Override</t>
  </si>
  <si>
    <t xml:space="preserve">COO / PU General Manager</t>
  </si>
  <si>
    <t xml:space="preserve">Expatriado</t>
  </si>
  <si>
    <t xml:space="preserve">Automático</t>
  </si>
  <si>
    <t xml:space="preserve">EPCM &amp; Engineering Manager</t>
  </si>
  <si>
    <t xml:space="preserve">Repatriado</t>
  </si>
  <si>
    <t xml:space="preserve">Drilling &amp; Well Services Manager</t>
  </si>
  <si>
    <t xml:space="preserve">Operations &amp; Maintenance Manager</t>
  </si>
  <si>
    <t xml:space="preserve">Technical Manager (Geosciences)</t>
  </si>
  <si>
    <t xml:space="preserve">Reservoir Engineer</t>
  </si>
  <si>
    <t xml:space="preserve">Remote</t>
  </si>
  <si>
    <t xml:space="preserve">Remoto</t>
  </si>
  <si>
    <t xml:space="preserve">Rig Company Man</t>
  </si>
  <si>
    <t xml:space="preserve">On rotation</t>
  </si>
  <si>
    <t xml:space="preserve">Planning &amp; PMO</t>
  </si>
  <si>
    <t xml:space="preserve">Local</t>
  </si>
  <si>
    <t xml:space="preserve">Operations Support</t>
  </si>
  <si>
    <t xml:space="preserve">Costo mensual por persona</t>
  </si>
  <si>
    <t xml:space="preserve">M1–M6 como consultor | M7–M12 según paquete seleccionado; los costos únicos se cargan en M7</t>
  </si>
  <si>
    <t xml:space="preserve">USD | Expatriado: empresa cubre / neutraliza impuesto del país de trabajo; Repatriado: empleado asume su impuesto personal</t>
  </si>
  <si>
    <t xml:space="preserve">DETALLE MENSUAL POR PERSONA — ESCENARIO SELECCIONADO</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</si>
  <si>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</si>
  <si>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</si>
  <si>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</si>
  <si>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</si>
  <si>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</si>
  <si>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</si>
  <si>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</si>
  <si>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</si>
  <si>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</si>
  <si>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</si>
  <si>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</si>
  <si>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</si>
  <si>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Tratamiento fiscal M7+</t>
  </si>
  <si>
    <t xml:space="preserve">COSTO TOTAL POR MES — COMPARACIÓN DE ESCENARIOS</t>
  </si>
  <si>
    <t xml:space="preserve">Tratamiento fiscal desde M7</t>
  </si>
  <si>
    <t xml:space="preserve">Según selección individual</t>
  </si>
  <si>
    <t xml:space="preserve">Todos expatriados</t>
  </si>
  <si>
    <t xml:space="preserve">Empresa cubre / neutraliza impuesto del país de trabajo</t>
  </si>
  <si>
    <t xml:space="preserve">Todos repatriados — con housing</t>
  </si>
  <si>
    <t xml:space="preserve">Empleado asume impuesto personal</t>
  </si>
  <si>
    <t xml:space="preserve">Todos repatriados — sin housing</t>
  </si>
  <si>
    <t xml:space="preserve">Definición de los paquetes</t>
  </si>
  <si>
    <t xml:space="preserve">Alcance presupuestario, criterios de clasificación y elementos de transición</t>
  </si>
  <si>
    <t xml:space="preserve">Documento de trabajo institucional — sujeto a aprobación legal, fiscal y de Recursos Humanos</t>
  </si>
  <si>
    <t xml:space="preserve">PAQUETE CONSULTOR — MESES 1 A 6</t>
  </si>
  <si>
    <t xml:space="preserve">• Relación presupuestaria: honorario de consultoría equivalente a 6/12 del salario base anual de referencia.</t>
  </si>
  <si>
    <t xml:space="preserve">• Beneficios / reembolsos incluidos: housing, seguro médico, home leave y vehículo, todos prorrateados por seis meses.</t>
  </si>
  <si>
    <t xml:space="preserve">• Tax &amp; Social venezolano: factor 0% por instrucción gerencial. No constituye opinión jurídica ni fiscal.</t>
  </si>
  <si>
    <t xml:space="preserve">• Contrato: debe documentar entregables, facturación, moneda, reembolsos, seguros y terminación, sin crear una clasificación laboral incorrecta.</t>
  </si>
  <si>
    <t xml:space="preserve">PAQUETE REPATRIADO — DESDE EL MES 7</t>
  </si>
  <si>
    <t xml:space="preserve">• Compensación recurrente pagada por la empresa: salario base, seguro médico y vehículo.</t>
  </si>
  <si>
    <t xml:space="preserve">• Impuesto personal: lo asume el repatriado. El factor de Tax &amp; Social pagado por la empresa es 0% por defecto, salvo cargas patronales obligatorias.</t>
  </si>
  <si>
    <t xml:space="preserve">• Housing: condicional. Política inicial editable: Caracas = Sí; Maracaibo = No. Un override individual prevalece sobre la regla automática.</t>
  </si>
  <si>
    <t xml:space="preserve">• Home leave: no se incluye, porque la persona pasa a una condición local / repatriada.</t>
  </si>
  <si>
    <t xml:space="preserve">• Costos únicos: viaje de retorno, mudanza de efectos personales, permisos, asesoría, alojamiento temporal y settling-in. Se mantienen en $0 hasta contar con cotizaciones.</t>
  </si>
  <si>
    <t xml:space="preserve">• Uso recomendado: personas que pasan a nómina local venezolana o retornan permanentemente bajo condiciones locales.</t>
  </si>
  <si>
    <t xml:space="preserve">PAQUETE EXPATRIADO — DESDE EL MES 7</t>
  </si>
  <si>
    <t xml:space="preserve">• Compensación recurrente: salario base, housing, seguro médico, home leave y vehículo.</t>
  </si>
  <si>
    <t xml:space="preserve">• Protección fiscal: la empresa cubre o neutraliza el impuesto del país de trabajo mediante pago, gross-up o tax equalization; el factor presupuestario es 100% del Tax &amp; Social fuente.</t>
  </si>
  <si>
    <t xml:space="preserve">• Costos únicos: incorporar, cuando correspondan, regularización migratoria, asesoría fiscal, alojamiento temporal y otros costos de movilidad no incluidos en la tabla fuente.</t>
  </si>
  <si>
    <t xml:space="preserve">• Uso recomendado: personas que conservan una asignación internacional, vínculo de empleo extranjero o política de tax equalization / gross-up.</t>
  </si>
  <si>
    <t xml:space="preserve">CRITERIOS DE DECISIÓN POR PERSONA</t>
  </si>
  <si>
    <t xml:space="preserve">• País y entidad empleadora; nacionalidad y residencia fiscal; duración esperada de la asignación; dependientes acompañantes; ciudad de residencia; disponibilidad de vivienda propia; y política corporativa aplicable.</t>
  </si>
  <si>
    <t xml:space="preserve">• La decisión no debe basarse solamente en el costo. Debe ser consistente con permisos de trabajo, nómina, seguridad social, retenciones y obligaciones de reporte.</t>
  </si>
  <si>
    <t xml:space="preserve">NOTA DE CUMPLIMIENTO</t>
  </si>
  <si>
    <t xml:space="preserve">La visa o admisión como turista normalmente no debe asumirse como autorización de trabajo. Además, la ausencia de una carga fiscal venezolana no puede determinarse únicamente por los primeros seis meses o por el estatus migratorio. El archivo es una herramienta de presupuesto: antes de contratar, movilizar o pagar, solicitar un dictamen local escrito sobre inmigración, clasificación laboral, establecimiento permanente, retenciones, impuesto sobre la renta y seguridad social.</t>
  </si>
</sst>
</file>

<file path=xl/styles.xml><?xml version="1.0" encoding="utf-8"?>
<styleSheet xmlns="http://schemas.openxmlformats.org/spreadsheetml/2006/main">
  <numFmts count="6">
    <numFmt numFmtId="164" formatCode="General"/>
    <numFmt numFmtId="165" formatCode="\$#,##0.0;&quot;($&quot;#,##0.0\);\-"/>
    <numFmt numFmtId="166" formatCode="#,##0"/>
    <numFmt numFmtId="167" formatCode="#,##0.0;\(#,##0.0\);\-"/>
    <numFmt numFmtId="168" formatCode="#,##0.0%"/>
    <numFmt numFmtId="169" formatCode="General"/>
  </numFmts>
  <fonts count="22">
    <font>
      <sz val="11"/>
      <color theme="1"/>
      <name val="Calibri"/>
      <family val="0"/>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i val="true"/>
      <sz val="10"/>
      <color rgb="FF666666"/>
      <name val="Arial"/>
      <family val="0"/>
      <charset val="1"/>
    </font>
    <font>
      <b val="true"/>
      <sz val="10"/>
      <color rgb="FF000000"/>
      <name val="Arial"/>
      <family val="0"/>
      <charset val="1"/>
    </font>
    <font>
      <b val="true"/>
      <sz val="9"/>
      <color rgb="FFFFFFFF"/>
      <name val="Arial"/>
      <family val="0"/>
      <charset val="1"/>
    </font>
    <font>
      <b val="true"/>
      <sz val="10"/>
      <color rgb="FF008000"/>
      <name val="Arial"/>
      <family val="0"/>
      <charset val="1"/>
    </font>
    <font>
      <sz val="9"/>
      <color rgb="FF000000"/>
      <name val="Arial"/>
      <family val="0"/>
      <charset val="1"/>
    </font>
    <font>
      <sz val="10"/>
      <color rgb="FF000000"/>
      <name val="Arial"/>
      <family val="0"/>
      <charset val="1"/>
    </font>
    <font>
      <sz val="10"/>
      <color rgb="FF008000"/>
      <name val="Arial"/>
      <family val="0"/>
      <charset val="1"/>
    </font>
    <font>
      <sz val="10"/>
      <color rgb="FF0000FF"/>
      <name val="Arial"/>
      <family val="0"/>
      <charset val="1"/>
    </font>
    <font>
      <sz val="10"/>
      <color rgb="FF0000FF"/>
      <name val="Arial"/>
      <family val="0"/>
      <charset val="1"/>
    </font>
    <font>
      <sz val="10"/>
      <color rgb="FF000000"/>
      <name val="Arial"/>
      <family val="0"/>
      <charset val="1"/>
    </font>
    <font>
      <b val="true"/>
      <sz val="10"/>
      <color rgb="FF00000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sz val="10"/>
      <color rgb="FFC00000"/>
      <name val="Arial"/>
      <family val="0"/>
      <charset val="1"/>
    </font>
  </fonts>
  <fills count="4">
    <fill>
      <patternFill patternType="none"/>
    </fill>
    <fill>
      <patternFill patternType="gray125"/>
    </fill>
    <fill>
      <patternFill patternType="solid">
        <fgColor rgb="FF135B44"/>
        <bgColor rgb="FF333333"/>
      </patternFill>
    </fill>
    <fill>
      <patternFill patternType="solid">
        <fgColor rgb="FFCFE9E0"/>
        <bgColor rgb="FFD9D9D9"/>
      </patternFill>
    </fill>
  </fills>
  <borders count="7">
    <border diagonalUp="false" diagonalDown="false">
      <left/>
      <right/>
      <top/>
      <bottom/>
      <diagonal/>
    </border>
    <border diagonalUp="false" diagonalDown="false">
      <left/>
      <right/>
      <top/>
      <bottom style="medium">
        <color rgb="FF135B44"/>
      </bottom>
      <diagonal/>
    </border>
    <border diagonalUp="false" diagonalDown="false">
      <left/>
      <right/>
      <top style="medium">
        <color rgb="FF135B44"/>
      </top>
      <bottom style="medium">
        <color rgb="FF135B44"/>
      </bottom>
      <diagonal/>
    </border>
    <border diagonalUp="false" diagonalDown="false">
      <left/>
      <right/>
      <top/>
      <bottom style="thin">
        <color rgb="FFB7B7B7"/>
      </bottom>
      <diagonal/>
    </border>
    <border diagonalUp="false" diagonalDown="false">
      <left/>
      <right/>
      <top style="thin">
        <color rgb="FFB7B7B7"/>
      </top>
      <bottom style="thin">
        <color rgb="FFB7B7B7"/>
      </bottom>
      <diagonal/>
    </border>
    <border diagonalUp="false" diagonalDown="false">
      <left/>
      <right/>
      <top style="thin">
        <color rgb="FFB7B7B7"/>
      </top>
      <bottom style="thin"/>
      <diagonal/>
    </border>
    <border diagonalUp="false" diagonalDown="false">
      <left/>
      <right/>
      <top style="medium">
        <color rgb="FF135B44"/>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8" fillId="2" borderId="2" xfId="0" applyFont="true" applyBorder="true" applyAlignment="true" applyProtection="true">
      <alignment horizontal="center" vertical="center" textRotation="0" wrapText="tru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5" fontId="9" fillId="0" borderId="3" xfId="0" applyFont="true" applyBorder="true" applyAlignment="true" applyProtection="true">
      <alignment horizontal="right" vertical="center" textRotation="0" wrapText="false" indent="0" shrinkToFit="false"/>
      <protection locked="true" hidden="false"/>
    </xf>
    <xf numFmtId="164" fontId="10" fillId="0" borderId="3" xfId="0" applyFont="true" applyBorder="true" applyAlignment="true" applyProtection="true">
      <alignment horizontal="left" vertical="center" textRotation="0" wrapText="true" indent="0" shrinkToFit="false"/>
      <protection locked="true" hidden="false"/>
    </xf>
    <xf numFmtId="164" fontId="11" fillId="0" borderId="4" xfId="0" applyFont="true" applyBorder="true" applyAlignment="true" applyProtection="true">
      <alignment horizontal="general" vertical="bottom" textRotation="0" wrapText="false" indent="0" shrinkToFit="false"/>
      <protection locked="true" hidden="false"/>
    </xf>
    <xf numFmtId="165" fontId="12" fillId="0" borderId="4" xfId="0" applyFont="true" applyBorder="true" applyAlignment="true" applyProtection="true">
      <alignment horizontal="right" vertical="center" textRotation="0" wrapText="false" indent="0" shrinkToFit="false"/>
      <protection locked="true" hidden="false"/>
    </xf>
    <xf numFmtId="164" fontId="10" fillId="0" borderId="4" xfId="0" applyFont="true" applyBorder="true" applyAlignment="true" applyProtection="true">
      <alignment horizontal="left" vertical="center" textRotation="0" wrapText="true" indent="0" shrinkToFit="false"/>
      <protection locked="true" hidden="false"/>
    </xf>
    <xf numFmtId="164" fontId="7" fillId="0" borderId="4" xfId="0" applyFont="true" applyBorder="true" applyAlignment="true" applyProtection="true">
      <alignment horizontal="general" vertical="bottom" textRotation="0" wrapText="false" indent="0" shrinkToFit="false"/>
      <protection locked="true" hidden="false"/>
    </xf>
    <xf numFmtId="165" fontId="9" fillId="0" borderId="4" xfId="0" applyFont="true" applyBorder="true" applyAlignment="true" applyProtection="true">
      <alignment horizontal="right" vertical="center" textRotation="0" wrapText="false" indent="0" shrinkToFit="false"/>
      <protection locked="true" hidden="false"/>
    </xf>
    <xf numFmtId="164" fontId="11" fillId="0" borderId="5" xfId="0" applyFont="true" applyBorder="true" applyAlignment="true" applyProtection="true">
      <alignment horizontal="general" vertical="bottom" textRotation="0" wrapText="false" indent="0" shrinkToFit="false"/>
      <protection locked="true" hidden="false"/>
    </xf>
    <xf numFmtId="166" fontId="12" fillId="0" borderId="5" xfId="0" applyFont="true" applyBorder="true" applyAlignment="true" applyProtection="true">
      <alignment horizontal="right" vertical="center" textRotation="0" wrapText="false" indent="0" shrinkToFit="false"/>
      <protection locked="true" hidden="false"/>
    </xf>
    <xf numFmtId="164" fontId="10" fillId="0" borderId="5" xfId="0" applyFont="true" applyBorder="true" applyAlignment="true" applyProtection="true">
      <alignment horizontal="left" vertical="center" textRotation="0" wrapText="true" indent="0" shrinkToFit="false"/>
      <protection locked="true" hidden="false"/>
    </xf>
    <xf numFmtId="164" fontId="7" fillId="0" borderId="3" xfId="0" applyFont="true" applyBorder="true" applyAlignment="true" applyProtection="true">
      <alignment horizontal="left" vertical="center" textRotation="0" wrapText="false" indent="0" shrinkToFit="false"/>
      <protection locked="true" hidden="false"/>
    </xf>
    <xf numFmtId="167" fontId="9" fillId="0" borderId="3" xfId="0" applyFont="true" applyBorder="true" applyAlignment="true" applyProtection="true">
      <alignment horizontal="right" vertical="center" textRotation="0" wrapText="false" indent="0" shrinkToFit="false"/>
      <protection locked="true" hidden="false"/>
    </xf>
    <xf numFmtId="164" fontId="11" fillId="0" borderId="4" xfId="0" applyFont="true" applyBorder="true" applyAlignment="true" applyProtection="true">
      <alignment horizontal="left" vertical="center" textRotation="0" wrapText="false" indent="0" shrinkToFit="false"/>
      <protection locked="true" hidden="false"/>
    </xf>
    <xf numFmtId="165" fontId="13" fillId="0" borderId="4" xfId="0" applyFont="true" applyBorder="true" applyAlignment="true" applyProtection="true">
      <alignment horizontal="right" vertical="center" textRotation="0" wrapText="false" indent="0" shrinkToFit="false"/>
      <protection locked="true" hidden="false"/>
    </xf>
    <xf numFmtId="167" fontId="13" fillId="0" borderId="4" xfId="0" applyFont="true" applyBorder="true" applyAlignment="true" applyProtection="true">
      <alignment horizontal="right" vertical="center" textRotation="0" wrapText="false" indent="0" shrinkToFit="false"/>
      <protection locked="true" hidden="false"/>
    </xf>
    <xf numFmtId="167" fontId="12" fillId="0" borderId="4" xfId="0" applyFont="true" applyBorder="true" applyAlignment="true" applyProtection="true">
      <alignment horizontal="right" vertical="center" textRotation="0" wrapText="false" indent="0" shrinkToFit="false"/>
      <protection locked="true" hidden="false"/>
    </xf>
    <xf numFmtId="167" fontId="11" fillId="0" borderId="4" xfId="0" applyFont="true" applyBorder="true" applyAlignment="true" applyProtection="true">
      <alignment horizontal="right" vertical="center" textRotation="0" wrapText="false" indent="0" shrinkToFit="false"/>
      <protection locked="true" hidden="false"/>
    </xf>
    <xf numFmtId="164" fontId="11" fillId="0" borderId="5" xfId="0" applyFont="true" applyBorder="true" applyAlignment="true" applyProtection="true">
      <alignment horizontal="left" vertical="center" textRotation="0" wrapText="false" indent="0" shrinkToFit="false"/>
      <protection locked="true" hidden="false"/>
    </xf>
    <xf numFmtId="165" fontId="12" fillId="0" borderId="5" xfId="0" applyFont="true" applyBorder="true" applyAlignment="true" applyProtection="true">
      <alignment horizontal="right" vertical="center" textRotation="0" wrapText="false" indent="0" shrinkToFit="false"/>
      <protection locked="true" hidden="false"/>
    </xf>
    <xf numFmtId="167" fontId="12" fillId="0" borderId="5" xfId="0" applyFont="true" applyBorder="true" applyAlignment="true" applyProtection="true">
      <alignment horizontal="right" vertical="center" textRotation="0" wrapText="false" indent="0" shrinkToFit="false"/>
      <protection locked="true" hidden="false"/>
    </xf>
    <xf numFmtId="167" fontId="11" fillId="0" borderId="5" xfId="0" applyFont="true" applyBorder="true" applyAlignment="true" applyProtection="true">
      <alignment horizontal="right" vertical="center" textRotation="0" wrapText="false" indent="0" shrinkToFit="false"/>
      <protection locked="true" hidden="false"/>
    </xf>
    <xf numFmtId="164" fontId="12" fillId="0" borderId="3" xfId="0" applyFont="true" applyBorder="true" applyAlignment="true" applyProtection="true">
      <alignment horizontal="left" vertical="center" textRotation="0" wrapText="true" indent="0" shrinkToFit="false"/>
      <protection locked="true" hidden="false"/>
    </xf>
    <xf numFmtId="165" fontId="12" fillId="0" borderId="3" xfId="0" applyFont="true" applyBorder="true" applyAlignment="true" applyProtection="true">
      <alignment horizontal="right" vertical="center" textRotation="0" wrapText="false" indent="0" shrinkToFit="false"/>
      <protection locked="true" hidden="false"/>
    </xf>
    <xf numFmtId="167" fontId="12" fillId="0" borderId="3" xfId="0" applyFont="true" applyBorder="true" applyAlignment="true" applyProtection="true">
      <alignment horizontal="right" vertical="center" textRotation="0" wrapText="false" indent="0" shrinkToFit="false"/>
      <protection locked="true" hidden="false"/>
    </xf>
    <xf numFmtId="164" fontId="12" fillId="0" borderId="4" xfId="0" applyFont="true" applyBorder="true" applyAlignment="true" applyProtection="true">
      <alignment horizontal="left" vertical="center" textRotation="0" wrapText="true" indent="0" shrinkToFit="false"/>
      <protection locked="true" hidden="false"/>
    </xf>
    <xf numFmtId="164" fontId="12" fillId="0" borderId="5" xfId="0" applyFont="true" applyBorder="true" applyAlignment="true" applyProtection="true">
      <alignment horizontal="left"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5" fontId="14" fillId="0" borderId="3" xfId="0" applyFont="true" applyBorder="true" applyAlignment="true" applyProtection="true">
      <alignment horizontal="left" vertical="center" textRotation="0" wrapText="true" indent="0" shrinkToFit="false"/>
      <protection locked="true" hidden="false"/>
    </xf>
    <xf numFmtId="167" fontId="12" fillId="0" borderId="3" xfId="0" applyFont="true" applyBorder="true" applyAlignment="true" applyProtection="true">
      <alignment horizontal="left" vertical="center" textRotation="0" wrapText="true" indent="0" shrinkToFit="false"/>
      <protection locked="true" hidden="false"/>
    </xf>
    <xf numFmtId="165" fontId="15" fillId="0" borderId="3" xfId="0" applyFont="true" applyBorder="true" applyAlignment="true" applyProtection="true">
      <alignment horizontal="left" vertical="center" textRotation="0" wrapText="true" indent="0" shrinkToFit="false"/>
      <protection locked="true" hidden="false"/>
    </xf>
    <xf numFmtId="165" fontId="15" fillId="0" borderId="3" xfId="0" applyFont="true" applyBorder="true" applyAlignment="true" applyProtection="true">
      <alignment horizontal="right" vertical="center" textRotation="0" wrapText="false" indent="0" shrinkToFit="false"/>
      <protection locked="true" hidden="false"/>
    </xf>
    <xf numFmtId="164" fontId="9" fillId="0" borderId="3" xfId="0" applyFont="true" applyBorder="true" applyAlignment="true" applyProtection="true">
      <alignment horizontal="left" vertical="center" textRotation="0" wrapText="true" indent="0" shrinkToFit="false"/>
      <protection locked="true" hidden="false"/>
    </xf>
    <xf numFmtId="165" fontId="16" fillId="0" borderId="3" xfId="0" applyFont="true" applyBorder="true" applyAlignment="true" applyProtection="true">
      <alignment horizontal="left" vertical="center" textRotation="0" wrapText="true" indent="0" shrinkToFit="false"/>
      <protection locked="true" hidden="false"/>
    </xf>
    <xf numFmtId="164" fontId="11" fillId="0" borderId="3" xfId="0" applyFont="true" applyBorder="true" applyAlignment="true" applyProtection="true">
      <alignment horizontal="general" vertical="bottom" textRotation="0" wrapText="false" indent="0" shrinkToFit="false"/>
      <protection locked="true" hidden="false"/>
    </xf>
    <xf numFmtId="166" fontId="13" fillId="0" borderId="3" xfId="0" applyFont="true" applyBorder="true" applyAlignment="true" applyProtection="true">
      <alignment horizontal="right" vertical="center" textRotation="0" wrapText="false" indent="0" shrinkToFit="false"/>
      <protection locked="true" hidden="false"/>
    </xf>
    <xf numFmtId="166" fontId="13" fillId="0" borderId="4" xfId="0" applyFont="true" applyBorder="true" applyAlignment="true" applyProtection="true">
      <alignment horizontal="right" vertical="center" textRotation="0" wrapText="false" indent="0" shrinkToFit="false"/>
      <protection locked="true" hidden="false"/>
    </xf>
    <xf numFmtId="168" fontId="13" fillId="0" borderId="4" xfId="0" applyFont="true" applyBorder="true" applyAlignment="true" applyProtection="true">
      <alignment horizontal="right" vertical="center" textRotation="0" wrapText="false" indent="0" shrinkToFit="false"/>
      <protection locked="true" hidden="false"/>
    </xf>
    <xf numFmtId="168" fontId="13" fillId="0" borderId="5" xfId="0" applyFont="true" applyBorder="true" applyAlignment="true" applyProtection="true">
      <alignment horizontal="right" vertical="center" textRotation="0" wrapText="false" indent="0" shrinkToFit="false"/>
      <protection locked="true" hidden="false"/>
    </xf>
    <xf numFmtId="164" fontId="11" fillId="0" borderId="3" xfId="0" applyFont="true" applyBorder="true" applyAlignment="true" applyProtection="true">
      <alignment horizontal="left" vertical="center" textRotation="0" wrapText="true" indent="0" shrinkToFit="false"/>
      <protection locked="true" hidden="false"/>
    </xf>
    <xf numFmtId="164" fontId="13" fillId="0" borderId="3" xfId="0" applyFont="true" applyBorder="true" applyAlignment="true" applyProtection="true">
      <alignment horizontal="center" vertical="center" textRotation="0" wrapText="false" indent="0" shrinkToFit="false"/>
      <protection locked="true" hidden="false"/>
    </xf>
    <xf numFmtId="164" fontId="11" fillId="0" borderId="4" xfId="0" applyFont="true" applyBorder="true" applyAlignment="true" applyProtection="true">
      <alignment horizontal="left" vertical="center" textRotation="0" wrapText="true" indent="0" shrinkToFit="false"/>
      <protection locked="true" hidden="false"/>
    </xf>
    <xf numFmtId="164" fontId="13" fillId="0" borderId="4" xfId="0" applyFont="true" applyBorder="true" applyAlignment="true" applyProtection="true">
      <alignment horizontal="center" vertical="center" textRotation="0" wrapText="false" indent="0" shrinkToFit="false"/>
      <protection locked="true" hidden="false"/>
    </xf>
    <xf numFmtId="164" fontId="11" fillId="0" borderId="5" xfId="0" applyFont="true" applyBorder="true" applyAlignment="true" applyProtection="true">
      <alignment horizontal="left" vertical="center" textRotation="0" wrapText="true" indent="0" shrinkToFit="false"/>
      <protection locked="true" hidden="false"/>
    </xf>
    <xf numFmtId="164" fontId="13" fillId="0" borderId="5"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left" vertical="top" textRotation="0" wrapText="true" indent="0" shrinkToFit="false"/>
      <protection locked="true" hidden="false"/>
    </xf>
    <xf numFmtId="164" fontId="13" fillId="0" borderId="0" xfId="0" applyFont="true" applyBorder="true" applyAlignment="true" applyProtection="true">
      <alignment horizontal="right"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false" indent="0" shrinkToFit="false"/>
      <protection locked="true" hidden="false"/>
    </xf>
    <xf numFmtId="165" fontId="13" fillId="0" borderId="0" xfId="0" applyFont="true" applyBorder="true" applyAlignment="true" applyProtection="true">
      <alignment horizontal="right" vertical="center" textRotation="0" wrapText="false" indent="0" shrinkToFit="false"/>
      <protection locked="true" hidden="false"/>
    </xf>
    <xf numFmtId="167" fontId="13" fillId="0" borderId="0" xfId="0" applyFont="true" applyBorder="true" applyAlignment="true" applyProtection="true">
      <alignment horizontal="right" vertical="center" textRotation="0" wrapText="false" indent="0" shrinkToFit="false"/>
      <protection locked="true" hidden="false"/>
    </xf>
    <xf numFmtId="165" fontId="11" fillId="0" borderId="0" xfId="0" applyFont="true" applyBorder="true" applyAlignment="true" applyProtection="true">
      <alignment horizontal="right" vertical="center" textRotation="0" wrapText="false" indent="0" shrinkToFit="false"/>
      <protection locked="true" hidden="false"/>
    </xf>
    <xf numFmtId="167" fontId="11" fillId="0" borderId="0" xfId="0" applyFont="true" applyBorder="true" applyAlignment="true" applyProtection="true">
      <alignment horizontal="right" vertical="center" textRotation="0" wrapText="false" indent="0" shrinkToFit="false"/>
      <protection locked="true" hidden="false"/>
    </xf>
    <xf numFmtId="165" fontId="12" fillId="0" borderId="0" xfId="0" applyFont="true" applyBorder="true" applyAlignment="true" applyProtection="true">
      <alignment horizontal="right" vertical="center" textRotation="0" wrapText="false" indent="0" shrinkToFit="false"/>
      <protection locked="true" hidden="false"/>
    </xf>
    <xf numFmtId="167" fontId="12" fillId="0" borderId="0" xfId="0" applyFont="true" applyBorder="true" applyAlignment="true" applyProtection="true">
      <alignment horizontal="right" vertical="center" textRotation="0" wrapText="false" indent="0" shrinkToFit="false"/>
      <protection locked="true" hidden="false"/>
    </xf>
    <xf numFmtId="167" fontId="7" fillId="0" borderId="0" xfId="0" applyFont="true" applyBorder="true" applyAlignment="true" applyProtection="true">
      <alignment horizontal="right"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9" fontId="11" fillId="0" borderId="0" xfId="0" applyFont="true" applyBorder="true" applyAlignment="true" applyProtection="true">
      <alignment horizontal="right" vertical="center"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65" fontId="7" fillId="0" borderId="6" xfId="0" applyFont="true" applyBorder="true" applyAlignment="true" applyProtection="true">
      <alignment horizontal="right" vertical="center" textRotation="0" wrapText="false" indent="0" shrinkToFit="false"/>
      <protection locked="true" hidden="false"/>
    </xf>
    <xf numFmtId="167" fontId="7" fillId="0" borderId="6" xfId="0" applyFont="true" applyBorder="true" applyAlignment="true" applyProtection="true">
      <alignment horizontal="right" vertical="center" textRotation="0" wrapText="false" indent="0" shrinkToFit="false"/>
      <protection locked="true" hidden="false"/>
    </xf>
    <xf numFmtId="169" fontId="7" fillId="0" borderId="6" xfId="0" applyFont="true" applyBorder="true" applyAlignment="true" applyProtection="true">
      <alignment horizontal="right" vertical="center" textRotation="0" wrapText="false" indent="0" shrinkToFit="false"/>
      <protection locked="true" hidden="false"/>
    </xf>
    <xf numFmtId="167" fontId="7" fillId="0" borderId="3" xfId="0" applyFont="true" applyBorder="true" applyAlignment="true" applyProtection="true">
      <alignment horizontal="right" vertical="center" textRotation="0" wrapText="false" indent="0" shrinkToFit="false"/>
      <protection locked="true" hidden="false"/>
    </xf>
    <xf numFmtId="167" fontId="7" fillId="0" borderId="4" xfId="0" applyFont="true" applyBorder="true" applyAlignment="true" applyProtection="true">
      <alignment horizontal="right" vertical="center" textRotation="0" wrapText="false" indent="0" shrinkToFit="false"/>
      <protection locked="true" hidden="false"/>
    </xf>
    <xf numFmtId="167" fontId="7" fillId="0" borderId="5" xfId="0" applyFont="true" applyBorder="true" applyAlignment="true" applyProtection="tru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35B4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8000"/>
          <bgColor rgb="FF000000"/>
        </patternFill>
      </fill>
    </dxf>
    <dxf>
      <fill>
        <patternFill patternType="solid">
          <fgColor rgb="FFC00000"/>
          <bgColor rgb="FF000000"/>
        </patternFill>
      </fill>
    </dxf>
    <dxf>
      <font>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FE9E0"/>
      <rgbColor rgb="FFFFFF99"/>
      <rgbColor rgb="FF99CCFF"/>
      <rgbColor rgb="FFFF99CC"/>
      <rgbColor rgb="FFCC99FF"/>
      <rgbColor rgb="FFFFCC99"/>
      <rgbColor rgb="FF4F81BD"/>
      <rgbColor rgb="FF33CCCC"/>
      <rgbColor rgb="FF99CC00"/>
      <rgbColor rgb="FFFFCC00"/>
      <rgbColor rgb="FFFF9900"/>
      <rgbColor rgb="FFFF6600"/>
      <rgbColor rgb="FF666666"/>
      <rgbColor rgb="FF969696"/>
      <rgbColor rgb="FF135B4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Año 1 por escenario</a:t>
            </a:r>
          </a:p>
        </c:rich>
      </c:tx>
      <c:overlay val="0"/>
      <c:spPr>
        <a:noFill/>
        <a:ln w="0">
          <a:noFill/>
        </a:ln>
      </c:spPr>
    </c:title>
    <c:autoTitleDeleted val="0"/>
    <c:plotArea>
      <c:barChart>
        <c:barDir val="col"/>
        <c:grouping val="clustered"/>
        <c:varyColors val="0"/>
        <c:ser>
          <c:idx val="0"/>
          <c:order val="0"/>
          <c:tx>
            <c:strRef>
              <c:f>Resumen!$F$21</c:f>
              <c:strCache>
                <c:ptCount val="1"/>
                <c:pt idx="0">
                  <c:v>Costo Año 1</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Resumen!$C$22:$C$25</c:f>
              <c:strCache>
                <c:ptCount val="4"/>
                <c:pt idx="0">
                  <c:v>Selección actual por persona</c:v>
                </c:pt>
                <c:pt idx="1">
                  <c:v>Todos expatriados — empresa cubre impuesto</c:v>
                </c:pt>
                <c:pt idx="2">
                  <c:v>Todos repatriados — con housing; empleado paga impuesto</c:v>
                </c:pt>
                <c:pt idx="3">
                  <c:v>Todos repatriados — sin housing; empleado paga impuesto</c:v>
                </c:pt>
              </c:strCache>
            </c:strRef>
          </c:cat>
          <c:val>
            <c:numRef>
              <c:f>Resumen!$F$22:$F$25</c:f>
              <c:numCache>
                <c:formatCode>#,##0.0;\(#,##0.0\);\-</c:formatCode>
                <c:ptCount val="4"/>
                <c:pt idx="0">
                  <c:v>2168400</c:v>
                </c:pt>
                <c:pt idx="1">
                  <c:v>2243600</c:v>
                </c:pt>
                <c:pt idx="2">
                  <c:v>2092400</c:v>
                </c:pt>
                <c:pt idx="3">
                  <c:v>2002400</c:v>
                </c:pt>
              </c:numCache>
            </c:numRef>
          </c:val>
        </c:ser>
        <c:gapWidth val="150"/>
        <c:overlap val="0"/>
        <c:axId val="7029607"/>
        <c:axId val="23348122"/>
      </c:barChart>
      <c:catAx>
        <c:axId val="702960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Escenario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48122"/>
        <c:crosses val="autoZero"/>
        <c:auto val="1"/>
        <c:lblAlgn val="ctr"/>
        <c:lblOffset val="100"/>
        <c:noMultiLvlLbl val="0"/>
      </c:catAx>
      <c:valAx>
        <c:axId val="233481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296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19</xdr:row>
      <xdr:rowOff>0</xdr:rowOff>
    </xdr:from>
    <xdr:to>
      <xdr:col>17</xdr:col>
      <xdr:colOff>682920</xdr:colOff>
      <xdr:row>28</xdr:row>
      <xdr:rowOff>352440</xdr:rowOff>
    </xdr:to>
    <xdr:graphicFrame>
      <xdr:nvGraphicFramePr>
        <xdr:cNvPr id="0" name="Chart 1"/>
        <xdr:cNvGraphicFramePr/>
      </xdr:nvGraphicFramePr>
      <xdr:xfrm>
        <a:off x="16756560" y="5972040"/>
        <a:ext cx="5483520" cy="3048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1" activePane="bottomLeft" state="frozen"/>
      <selection pane="topLeft" activeCell="A1" activeCellId="0" sqref="A1"/>
      <selection pane="bottomLeft" activeCell="E30" activeCellId="0" sqref="E30"/>
    </sheetView>
  </sheetViews>
  <sheetFormatPr defaultColWidth="8.57421875" defaultRowHeight="21.75" zeroHeight="false" outlineLevelRow="0" outlineLevelCol="0"/>
  <cols>
    <col collapsed="false" customWidth="false" hidden="false" outlineLevel="0" max="2" min="1" style="1" width="8.57"/>
    <col collapsed="false" customWidth="true" hidden="false" outlineLevel="0" max="3" min="3" style="1" width="48.57"/>
    <col collapsed="false" customWidth="true" hidden="false" outlineLevel="0" max="4" min="4" style="1" width="31.15"/>
    <col collapsed="false" customWidth="true" hidden="false" outlineLevel="0" max="5" min="5" style="1" width="48.57"/>
    <col collapsed="false" customWidth="true" hidden="false" outlineLevel="0" max="6" min="6" style="1" width="14.85"/>
    <col collapsed="false" customWidth="true" hidden="false" outlineLevel="0" max="7" min="7" style="1" width="19.15"/>
    <col collapsed="false" customWidth="true" hidden="false" outlineLevel="0" max="8" min="8" style="1" width="12.42"/>
    <col collapsed="false" customWidth="true" hidden="false" outlineLevel="0" max="9" min="9" style="1" width="9"/>
  </cols>
  <sheetData>
    <row r="1" customFormat="false" ht="21.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4" customFormat="false" ht="24.75" hidden="false" customHeight="true" outlineLevel="0" collapsed="false">
      <c r="C4" s="3" t="s">
        <v>0</v>
      </c>
      <c r="D4" s="3"/>
      <c r="E4" s="3"/>
      <c r="F4" s="3"/>
      <c r="G4" s="3"/>
      <c r="H4" s="3"/>
      <c r="I4" s="3"/>
      <c r="J4" s="3"/>
      <c r="K4" s="3"/>
      <c r="L4" s="3"/>
    </row>
    <row r="6" customFormat="false" ht="15" hidden="false" customHeight="true" outlineLevel="0" collapsed="false">
      <c r="C6" s="4" t="s">
        <v>1</v>
      </c>
    </row>
    <row r="7" customFormat="false" ht="15" hidden="false" customHeight="true" outlineLevel="0" collapsed="false">
      <c r="C7" s="5" t="s">
        <v>2</v>
      </c>
    </row>
    <row r="9" customFormat="false" ht="19.5" hidden="false" customHeight="true" outlineLevel="0" collapsed="false">
      <c r="C9" s="6" t="s">
        <v>3</v>
      </c>
      <c r="D9" s="6"/>
      <c r="E9" s="6"/>
      <c r="F9" s="6"/>
      <c r="G9" s="6"/>
    </row>
    <row r="10" customFormat="false" ht="33.75" hidden="false" customHeight="true" outlineLevel="0" collapsed="false">
      <c r="C10" s="7" t="s">
        <v>4</v>
      </c>
      <c r="D10" s="7" t="s">
        <v>5</v>
      </c>
      <c r="E10" s="7" t="s">
        <v>6</v>
      </c>
      <c r="F10" s="7" t="s">
        <v>7</v>
      </c>
      <c r="G10" s="7" t="s">
        <v>8</v>
      </c>
    </row>
    <row r="11" customFormat="false" ht="30" hidden="false" customHeight="true" outlineLevel="0" collapsed="false">
      <c r="C11" s="8" t="s">
        <v>9</v>
      </c>
      <c r="D11" s="9" t="n">
        <f aca="false">Personal!M22</f>
        <v>2396800</v>
      </c>
      <c r="E11" s="10" t="s">
        <v>10</v>
      </c>
      <c r="F11" s="10" t="s">
        <v>11</v>
      </c>
      <c r="G11" s="10" t="s">
        <v>12</v>
      </c>
    </row>
    <row r="12" customFormat="false" ht="30" hidden="false" customHeight="true" outlineLevel="0" collapsed="false">
      <c r="C12" s="11" t="s">
        <v>13</v>
      </c>
      <c r="D12" s="12" t="n">
        <f aca="false">Personal!U22</f>
        <v>1018200</v>
      </c>
      <c r="E12" s="13" t="s">
        <v>14</v>
      </c>
      <c r="F12" s="13" t="s">
        <v>15</v>
      </c>
      <c r="G12" s="13" t="s">
        <v>16</v>
      </c>
    </row>
    <row r="13" customFormat="false" ht="30" hidden="false" customHeight="true" outlineLevel="0" collapsed="false">
      <c r="C13" s="11" t="s">
        <v>17</v>
      </c>
      <c r="D13" s="12" t="n">
        <f aca="false">Personal!AB22</f>
        <v>1150200</v>
      </c>
      <c r="E13" s="13" t="s">
        <v>18</v>
      </c>
      <c r="F13" s="13" t="s">
        <v>15</v>
      </c>
      <c r="G13" s="13" t="s">
        <v>19</v>
      </c>
    </row>
    <row r="14" customFormat="false" ht="30" hidden="false" customHeight="true" outlineLevel="0" collapsed="false">
      <c r="C14" s="14" t="s">
        <v>20</v>
      </c>
      <c r="D14" s="15" t="n">
        <f aca="false">Personal!AC22</f>
        <v>2168400</v>
      </c>
      <c r="E14" s="13" t="s">
        <v>21</v>
      </c>
      <c r="F14" s="13" t="s">
        <v>15</v>
      </c>
      <c r="G14" s="13" t="s">
        <v>16</v>
      </c>
    </row>
    <row r="15" customFormat="false" ht="30" hidden="false" customHeight="true" outlineLevel="0" collapsed="false">
      <c r="C15" s="14" t="s">
        <v>22</v>
      </c>
      <c r="D15" s="15" t="n">
        <f aca="false">Personal!AD22</f>
        <v>228400</v>
      </c>
      <c r="E15" s="13" t="s">
        <v>23</v>
      </c>
      <c r="F15" s="13" t="s">
        <v>15</v>
      </c>
      <c r="G15" s="13" t="s">
        <v>16</v>
      </c>
    </row>
    <row r="16" customFormat="false" ht="30" hidden="false" customHeight="true" outlineLevel="0" collapsed="false">
      <c r="C16" s="14" t="s">
        <v>24</v>
      </c>
      <c r="D16" s="15" t="n">
        <f aca="false">Personal!AE22</f>
        <v>2300400</v>
      </c>
      <c r="E16" s="13" t="s">
        <v>25</v>
      </c>
      <c r="F16" s="13" t="s">
        <v>15</v>
      </c>
      <c r="G16" s="13" t="s">
        <v>16</v>
      </c>
    </row>
    <row r="17" customFormat="false" ht="30" hidden="false" customHeight="true" outlineLevel="0" collapsed="false">
      <c r="C17" s="16" t="s">
        <v>26</v>
      </c>
      <c r="D17" s="17" t="n">
        <f aca="false">COUNTIF(Personal!AF12:AF20,"&lt;&gt;Completo")</f>
        <v>2</v>
      </c>
      <c r="E17" s="18" t="s">
        <v>27</v>
      </c>
      <c r="F17" s="18" t="s">
        <v>15</v>
      </c>
      <c r="G17" s="18" t="s">
        <v>28</v>
      </c>
    </row>
    <row r="20" customFormat="false" ht="19.5" hidden="false" customHeight="true" outlineLevel="0" collapsed="false">
      <c r="C20" s="6" t="s">
        <v>29</v>
      </c>
      <c r="D20" s="6"/>
      <c r="E20" s="6"/>
      <c r="F20" s="6"/>
      <c r="G20" s="6"/>
      <c r="H20" s="6"/>
    </row>
    <row r="21" customFormat="false" ht="33.75" hidden="false" customHeight="true" outlineLevel="0" collapsed="false">
      <c r="C21" s="7" t="s">
        <v>30</v>
      </c>
      <c r="D21" s="7" t="s">
        <v>31</v>
      </c>
      <c r="E21" s="7" t="s">
        <v>32</v>
      </c>
      <c r="F21" s="7" t="s">
        <v>33</v>
      </c>
      <c r="G21" s="7" t="s">
        <v>34</v>
      </c>
      <c r="H21" s="7" t="s">
        <v>35</v>
      </c>
    </row>
    <row r="22" customFormat="false" ht="24" hidden="false" customHeight="true" outlineLevel="0" collapsed="false">
      <c r="C22" s="19" t="s">
        <v>36</v>
      </c>
      <c r="D22" s="9" t="n">
        <f aca="false">Personal!U22</f>
        <v>1018200</v>
      </c>
      <c r="E22" s="20" t="n">
        <f aca="false">Personal!AB22</f>
        <v>1150200</v>
      </c>
      <c r="F22" s="20" t="n">
        <f aca="false">Personal!AC22</f>
        <v>2168400</v>
      </c>
      <c r="G22" s="20" t="n">
        <f aca="false">Personal!AD22</f>
        <v>228400</v>
      </c>
      <c r="H22" s="20" t="n">
        <f aca="false">Personal!AE22</f>
        <v>2300400</v>
      </c>
    </row>
    <row r="23" customFormat="false" ht="24" hidden="false" customHeight="true" outlineLevel="0" collapsed="false">
      <c r="C23" s="21" t="s">
        <v>37</v>
      </c>
      <c r="D23" s="22" t="n">
        <v>1045200</v>
      </c>
      <c r="E23" s="23" t="n">
        <v>1198400</v>
      </c>
      <c r="F23" s="23" t="n">
        <v>2243600</v>
      </c>
      <c r="G23" s="23" t="n">
        <v>153200</v>
      </c>
      <c r="H23" s="23" t="n">
        <v>2396800</v>
      </c>
    </row>
    <row r="24" customFormat="false" ht="24" hidden="false" customHeight="true" outlineLevel="0" collapsed="false">
      <c r="C24" s="21" t="s">
        <v>38</v>
      </c>
      <c r="D24" s="12" t="n">
        <f aca="false">Personal!U22</f>
        <v>1018200</v>
      </c>
      <c r="E24" s="24" t="n">
        <f aca="false">(SUM(Personal!F12:F20)+SUM(Personal!G12:G20)+SUM(Personal!H12:H20)+SUM(Personal!J12:J20)+SUM(Personal!K12:K20)*Supuestos!$D$13+SUM(Personal!AJ12:AJ20))/12*Supuestos!$D$11</f>
        <v>1074200</v>
      </c>
      <c r="F24" s="25" t="n">
        <f aca="false">D24+E24</f>
        <v>2092400</v>
      </c>
      <c r="G24" s="24" t="n">
        <f aca="false">Personal!M22-F24</f>
        <v>304400</v>
      </c>
      <c r="H24" s="24" t="n">
        <f aca="false">E24/Supuestos!$D$11*12</f>
        <v>2148400</v>
      </c>
    </row>
    <row r="25" customFormat="false" ht="24" hidden="false" customHeight="true" outlineLevel="0" collapsed="false">
      <c r="C25" s="26" t="s">
        <v>39</v>
      </c>
      <c r="D25" s="27" t="n">
        <f aca="false">Personal!U22</f>
        <v>1018200</v>
      </c>
      <c r="E25" s="28" t="n">
        <f aca="false">(SUM(Personal!F12:F20)+SUM(Personal!H12:H20)+SUM(Personal!J12:J20)+SUM(Personal!K12:K20)*Supuestos!$D$13+SUM(Personal!AJ12:AJ20))/12*Supuestos!$D$11</f>
        <v>984200</v>
      </c>
      <c r="F25" s="29" t="n">
        <f aca="false">D25+E25</f>
        <v>2002400</v>
      </c>
      <c r="G25" s="28" t="n">
        <f aca="false">Personal!M22-F25</f>
        <v>394400</v>
      </c>
      <c r="H25" s="28" t="n">
        <f aca="false">E25/Supuestos!$D$11*12</f>
        <v>1968400</v>
      </c>
    </row>
    <row r="28" customFormat="false" ht="19.5" hidden="false" customHeight="true" outlineLevel="0" collapsed="false">
      <c r="C28" s="6" t="s">
        <v>40</v>
      </c>
      <c r="D28" s="6"/>
      <c r="E28" s="6"/>
      <c r="F28" s="6"/>
      <c r="G28" s="6"/>
      <c r="H28" s="6"/>
      <c r="I28" s="6"/>
    </row>
    <row r="29" customFormat="false" ht="33.75" hidden="false" customHeight="true" outlineLevel="0" collapsed="false">
      <c r="C29" s="7" t="s">
        <v>41</v>
      </c>
      <c r="D29" s="7" t="s">
        <v>42</v>
      </c>
      <c r="E29" s="7" t="s">
        <v>43</v>
      </c>
      <c r="F29" s="7" t="s">
        <v>44</v>
      </c>
      <c r="G29" s="7" t="s">
        <v>45</v>
      </c>
      <c r="H29" s="7" t="s">
        <v>46</v>
      </c>
      <c r="I29" s="7" t="s">
        <v>47</v>
      </c>
    </row>
    <row r="30" customFormat="false" ht="24" hidden="false" customHeight="true" outlineLevel="0" collapsed="false">
      <c r="C30" s="30" t="str">
        <f aca="false">Personal!E12</f>
        <v>Martin del Castillo</v>
      </c>
      <c r="D30" s="30" t="str">
        <f aca="false">Personal!D12</f>
        <v>COO / PU General Manager</v>
      </c>
      <c r="E30" s="30" t="str">
        <f aca="false">Personal!V12</f>
        <v>Expatriado</v>
      </c>
      <c r="F30" s="30" t="str">
        <f aca="false">Personal!W12</f>
        <v>Por definir</v>
      </c>
      <c r="G30" s="31" t="n">
        <f aca="false">Personal!U12</f>
        <v>226000</v>
      </c>
      <c r="H30" s="32" t="n">
        <f aca="false">Personal!AB12</f>
        <v>262000</v>
      </c>
      <c r="I30" s="32" t="n">
        <f aca="false">Personal!AC12</f>
        <v>488000</v>
      </c>
    </row>
    <row r="31" customFormat="false" ht="24" hidden="false" customHeight="true" outlineLevel="0" collapsed="false">
      <c r="C31" s="33" t="str">
        <f aca="false">Personal!E13</f>
        <v>Juan Conde</v>
      </c>
      <c r="D31" s="33" t="str">
        <f aca="false">Personal!D13</f>
        <v>EPCM &amp; Engineering Manager</v>
      </c>
      <c r="E31" s="33" t="str">
        <f aca="false">Personal!V13</f>
        <v>Repatriado</v>
      </c>
      <c r="F31" s="33" t="str">
        <f aca="false">Personal!W13</f>
        <v>Maracaibo</v>
      </c>
      <c r="G31" s="12" t="n">
        <f aca="false">Personal!U13</f>
        <v>141000</v>
      </c>
      <c r="H31" s="24" t="n">
        <f aca="false">Personal!AB13</f>
        <v>171000</v>
      </c>
      <c r="I31" s="24" t="n">
        <f aca="false">Personal!AC13</f>
        <v>312000</v>
      </c>
    </row>
    <row r="32" customFormat="false" ht="24" hidden="false" customHeight="true" outlineLevel="0" collapsed="false">
      <c r="C32" s="33" t="str">
        <f aca="false">Personal!E14</f>
        <v>Alexander Stulme</v>
      </c>
      <c r="D32" s="33" t="str">
        <f aca="false">Personal!D14</f>
        <v>Drilling &amp; Well Services Manager</v>
      </c>
      <c r="E32" s="33" t="str">
        <f aca="false">Personal!V14</f>
        <v>Repatriado</v>
      </c>
      <c r="F32" s="33" t="str">
        <f aca="false">Personal!W14</f>
        <v>Maracaibo</v>
      </c>
      <c r="G32" s="12" t="n">
        <f aca="false">Personal!U14</f>
        <v>123000</v>
      </c>
      <c r="H32" s="24" t="n">
        <f aca="false">Personal!AB14</f>
        <v>135000</v>
      </c>
      <c r="I32" s="24" t="n">
        <f aca="false">Personal!AC14</f>
        <v>258000</v>
      </c>
    </row>
    <row r="33" customFormat="false" ht="24" hidden="false" customHeight="true" outlineLevel="0" collapsed="false">
      <c r="C33" s="33" t="str">
        <f aca="false">Personal!E15</f>
        <v>Félix Valderrama</v>
      </c>
      <c r="D33" s="33" t="str">
        <f aca="false">Personal!D15</f>
        <v>Operations &amp; Maintenance Manager</v>
      </c>
      <c r="E33" s="33" t="str">
        <f aca="false">Personal!V15</f>
        <v>Repatriado</v>
      </c>
      <c r="F33" s="33" t="str">
        <f aca="false">Personal!W15</f>
        <v>Maracaibo</v>
      </c>
      <c r="G33" s="12" t="n">
        <f aca="false">Personal!U15</f>
        <v>141000</v>
      </c>
      <c r="H33" s="24" t="n">
        <f aca="false">Personal!AB15</f>
        <v>171000</v>
      </c>
      <c r="I33" s="24" t="n">
        <f aca="false">Personal!AC15</f>
        <v>312000</v>
      </c>
    </row>
    <row r="34" customFormat="false" ht="24" hidden="false" customHeight="true" outlineLevel="0" collapsed="false">
      <c r="C34" s="33" t="str">
        <f aca="false">Personal!E16</f>
        <v>Alan McKeon</v>
      </c>
      <c r="D34" s="33" t="str">
        <f aca="false">Personal!D16</f>
        <v>Technical Manager (Geosciences)</v>
      </c>
      <c r="E34" s="33" t="str">
        <f aca="false">Personal!V16</f>
        <v>Expatriado</v>
      </c>
      <c r="F34" s="33" t="str">
        <f aca="false">Personal!W16</f>
        <v>Maracaibo</v>
      </c>
      <c r="G34" s="12" t="n">
        <f aca="false">Personal!U16</f>
        <v>123000</v>
      </c>
      <c r="H34" s="24" t="n">
        <f aca="false">Personal!AB16</f>
        <v>135000</v>
      </c>
      <c r="I34" s="24" t="n">
        <f aca="false">Personal!AC16</f>
        <v>258000</v>
      </c>
    </row>
    <row r="35" customFormat="false" ht="24" hidden="false" customHeight="true" outlineLevel="0" collapsed="false">
      <c r="C35" s="33" t="str">
        <f aca="false">Personal!E17</f>
        <v>JJI</v>
      </c>
      <c r="D35" s="33" t="str">
        <f aca="false">Personal!D17</f>
        <v>Reservoir Engineer</v>
      </c>
      <c r="E35" s="33" t="str">
        <f aca="false">Personal!V17</f>
        <v>Remote</v>
      </c>
      <c r="F35" s="33" t="str">
        <f aca="false">Personal!W17</f>
        <v>Remoto</v>
      </c>
      <c r="G35" s="12" t="n">
        <f aca="false">Personal!U17</f>
        <v>60000</v>
      </c>
      <c r="H35" s="24" t="n">
        <f aca="false">Personal!AB17</f>
        <v>60000</v>
      </c>
      <c r="I35" s="24" t="n">
        <f aca="false">Personal!AC17</f>
        <v>120000</v>
      </c>
    </row>
    <row r="36" customFormat="false" ht="24" hidden="false" customHeight="true" outlineLevel="0" collapsed="false">
      <c r="C36" s="33" t="str">
        <f aca="false">Personal!E18</f>
        <v>Marcelo Dantas</v>
      </c>
      <c r="D36" s="33" t="str">
        <f aca="false">Personal!D18</f>
        <v>Rig Company Man</v>
      </c>
      <c r="E36" s="33" t="str">
        <f aca="false">Personal!V18</f>
        <v>On rotation</v>
      </c>
      <c r="F36" s="33" t="str">
        <f aca="false">Personal!W18</f>
        <v>Por definir</v>
      </c>
      <c r="G36" s="12" t="n">
        <f aca="false">Personal!U18</f>
        <v>123000</v>
      </c>
      <c r="H36" s="24" t="n">
        <f aca="false">Personal!AB18</f>
        <v>141000</v>
      </c>
      <c r="I36" s="24" t="n">
        <f aca="false">Personal!AC18</f>
        <v>264000</v>
      </c>
    </row>
    <row r="37" customFormat="false" ht="24" hidden="false" customHeight="true" outlineLevel="0" collapsed="false">
      <c r="C37" s="33" t="str">
        <f aca="false">Personal!E19</f>
        <v>Jose Miguel</v>
      </c>
      <c r="D37" s="33" t="str">
        <f aca="false">Personal!D19</f>
        <v>Planning &amp; PMO</v>
      </c>
      <c r="E37" s="33" t="str">
        <f aca="false">Personal!V19</f>
        <v>Local</v>
      </c>
      <c r="F37" s="33" t="str">
        <f aca="false">Personal!W19</f>
        <v>Maracaibo</v>
      </c>
      <c r="G37" s="12" t="n">
        <f aca="false">Personal!U19</f>
        <v>37600</v>
      </c>
      <c r="H37" s="24" t="n">
        <f aca="false">Personal!AB19</f>
        <v>37600</v>
      </c>
      <c r="I37" s="24" t="n">
        <f aca="false">Personal!AC19</f>
        <v>75200</v>
      </c>
    </row>
    <row r="38" customFormat="false" ht="24" hidden="false" customHeight="true" outlineLevel="0" collapsed="false">
      <c r="C38" s="34" t="str">
        <f aca="false">Personal!E20</f>
        <v>TBD</v>
      </c>
      <c r="D38" s="34" t="str">
        <f aca="false">Personal!D20</f>
        <v>Operations Support</v>
      </c>
      <c r="E38" s="34" t="str">
        <f aca="false">Personal!V20</f>
        <v>Local</v>
      </c>
      <c r="F38" s="34" t="str">
        <f aca="false">Personal!W20</f>
        <v>Por definir</v>
      </c>
      <c r="G38" s="27" t="n">
        <f aca="false">Personal!U20</f>
        <v>43600</v>
      </c>
      <c r="H38" s="28" t="n">
        <f aca="false">Personal!AB20</f>
        <v>37600</v>
      </c>
      <c r="I38" s="28" t="n">
        <f aca="false">Personal!AC20</f>
        <v>81200</v>
      </c>
    </row>
    <row r="41" customFormat="false" ht="19.5" hidden="false" customHeight="true" outlineLevel="0" collapsed="false">
      <c r="C41" s="6" t="s">
        <v>48</v>
      </c>
      <c r="D41" s="6"/>
      <c r="E41" s="6"/>
      <c r="F41" s="6"/>
      <c r="G41" s="6"/>
      <c r="H41" s="6"/>
      <c r="I41" s="6"/>
      <c r="J41" s="6"/>
      <c r="K41" s="6"/>
      <c r="L41" s="6"/>
    </row>
    <row r="42" customFormat="false" ht="22.5" hidden="false" customHeight="true" outlineLevel="0" collapsed="false">
      <c r="C42" s="35" t="s">
        <v>49</v>
      </c>
      <c r="D42" s="35"/>
      <c r="E42" s="35"/>
      <c r="F42" s="35"/>
      <c r="G42" s="35"/>
      <c r="H42" s="35"/>
      <c r="I42" s="35"/>
      <c r="J42" s="35"/>
      <c r="K42" s="35"/>
      <c r="L42" s="35"/>
    </row>
    <row r="43" customFormat="false" ht="22.5" hidden="false" customHeight="true" outlineLevel="0" collapsed="false">
      <c r="C43" s="35" t="s">
        <v>50</v>
      </c>
      <c r="D43" s="35"/>
      <c r="E43" s="35"/>
      <c r="F43" s="35"/>
      <c r="G43" s="35"/>
      <c r="H43" s="35"/>
      <c r="I43" s="35"/>
      <c r="J43" s="35"/>
      <c r="K43" s="35"/>
      <c r="L43" s="35"/>
    </row>
    <row r="44" customFormat="false" ht="22.5" hidden="false" customHeight="true" outlineLevel="0" collapsed="false">
      <c r="C44" s="35" t="s">
        <v>51</v>
      </c>
      <c r="D44" s="35"/>
      <c r="E44" s="35"/>
      <c r="F44" s="35"/>
      <c r="G44" s="35"/>
      <c r="H44" s="35"/>
      <c r="I44" s="35"/>
      <c r="J44" s="35"/>
      <c r="K44" s="35"/>
      <c r="L44" s="35"/>
    </row>
    <row r="45" customFormat="false" ht="22.5" hidden="false" customHeight="true" outlineLevel="0" collapsed="false">
      <c r="C45" s="35" t="s">
        <v>52</v>
      </c>
      <c r="D45" s="35"/>
      <c r="E45" s="35"/>
      <c r="F45" s="35"/>
      <c r="G45" s="35"/>
      <c r="H45" s="35"/>
      <c r="I45" s="35"/>
      <c r="J45" s="35"/>
      <c r="K45" s="35"/>
      <c r="L45" s="35"/>
    </row>
    <row r="46" customFormat="false" ht="22.5" hidden="false" customHeight="true" outlineLevel="0" collapsed="false">
      <c r="C46" s="35" t="s">
        <v>53</v>
      </c>
      <c r="D46" s="35"/>
      <c r="E46" s="35"/>
      <c r="F46" s="35"/>
      <c r="G46" s="35"/>
      <c r="H46" s="35"/>
      <c r="I46" s="35"/>
      <c r="J46" s="35"/>
      <c r="K46" s="35"/>
      <c r="L46" s="35"/>
    </row>
    <row r="49" customFormat="false" ht="21.75" hidden="false" customHeight="false" outlineLevel="0" collapsed="false">
      <c r="C49" s="1" t="s">
        <v>54</v>
      </c>
    </row>
    <row r="50" customFormat="false" ht="21.75" hidden="false" customHeight="false" outlineLevel="0" collapsed="false">
      <c r="C50" s="7" t="s">
        <v>41</v>
      </c>
      <c r="D50" s="7" t="s">
        <v>55</v>
      </c>
      <c r="E50" s="7" t="s">
        <v>56</v>
      </c>
      <c r="F50" s="7" t="s">
        <v>57</v>
      </c>
      <c r="G50" s="7" t="s">
        <v>58</v>
      </c>
    </row>
    <row r="51" customFormat="false" ht="21.25" hidden="false" customHeight="true" outlineLevel="0" collapsed="false">
      <c r="C51" s="30" t="s">
        <v>59</v>
      </c>
      <c r="D51" s="36" t="n">
        <v>488000</v>
      </c>
      <c r="E51" s="37" t="n">
        <f aca="false">Personal!AC12</f>
        <v>488000</v>
      </c>
      <c r="F51" s="38" t="n">
        <f aca="false">D51-E51</f>
        <v>0</v>
      </c>
      <c r="G51" s="39" t="s">
        <v>60</v>
      </c>
    </row>
    <row r="52" customFormat="false" ht="21.25" hidden="false" customHeight="true" outlineLevel="0" collapsed="false">
      <c r="C52" s="30" t="s">
        <v>61</v>
      </c>
      <c r="D52" s="36" t="n">
        <v>303600</v>
      </c>
      <c r="E52" s="37" t="n">
        <f aca="false">Personal!AC13</f>
        <v>312000</v>
      </c>
      <c r="F52" s="38" t="n">
        <f aca="false">D52-E52</f>
        <v>-8400</v>
      </c>
      <c r="G52" s="39" t="s">
        <v>62</v>
      </c>
    </row>
    <row r="53" customFormat="false" ht="21.25" hidden="false" customHeight="true" outlineLevel="0" collapsed="false">
      <c r="C53" s="30" t="s">
        <v>63</v>
      </c>
      <c r="D53" s="36" t="n">
        <v>264000</v>
      </c>
      <c r="E53" s="37" t="n">
        <f aca="false">Personal!AC14</f>
        <v>258000</v>
      </c>
      <c r="F53" s="38" t="n">
        <f aca="false">D53-E53</f>
        <v>6000</v>
      </c>
      <c r="G53" s="39" t="s">
        <v>64</v>
      </c>
    </row>
    <row r="54" customFormat="false" ht="21.25" hidden="false" customHeight="true" outlineLevel="0" collapsed="false">
      <c r="C54" s="30" t="s">
        <v>65</v>
      </c>
      <c r="D54" s="36" t="n">
        <v>303600</v>
      </c>
      <c r="E54" s="37" t="n">
        <f aca="false">Personal!AC15</f>
        <v>312000</v>
      </c>
      <c r="F54" s="38" t="n">
        <f aca="false">D54-E54</f>
        <v>-8400</v>
      </c>
      <c r="G54" s="39" t="s">
        <v>62</v>
      </c>
    </row>
    <row r="55" customFormat="false" ht="21.25" hidden="false" customHeight="true" outlineLevel="0" collapsed="false">
      <c r="C55" s="30" t="s">
        <v>66</v>
      </c>
      <c r="D55" s="36" t="n">
        <v>264000</v>
      </c>
      <c r="E55" s="37" t="n">
        <f aca="false">Personal!AC16</f>
        <v>258000</v>
      </c>
      <c r="F55" s="38" t="n">
        <f aca="false">D55-E55</f>
        <v>6000</v>
      </c>
      <c r="G55" s="39" t="s">
        <v>67</v>
      </c>
    </row>
    <row r="56" customFormat="false" ht="21.25" hidden="false" customHeight="true" outlineLevel="0" collapsed="false">
      <c r="C56" s="30" t="s">
        <v>68</v>
      </c>
      <c r="D56" s="36" t="n">
        <v>184000</v>
      </c>
      <c r="E56" s="37" t="n">
        <f aca="false">Personal!AC17</f>
        <v>120000</v>
      </c>
      <c r="F56" s="38" t="n">
        <f aca="false">D56-E56</f>
        <v>64000</v>
      </c>
      <c r="G56" s="39" t="s">
        <v>69</v>
      </c>
    </row>
    <row r="57" customFormat="false" ht="21.25" hidden="false" customHeight="true" outlineLevel="0" collapsed="false">
      <c r="C57" s="30" t="s">
        <v>70</v>
      </c>
      <c r="D57" s="36" t="n">
        <v>264000</v>
      </c>
      <c r="E57" s="37" t="n">
        <f aca="false">Personal!AC18</f>
        <v>264000</v>
      </c>
      <c r="F57" s="38" t="n">
        <f aca="false">D57-E57</f>
        <v>0</v>
      </c>
      <c r="G57" s="39" t="s">
        <v>71</v>
      </c>
    </row>
    <row r="58" customFormat="false" ht="21.25" hidden="false" customHeight="true" outlineLevel="0" collapsed="false">
      <c r="C58" s="30" t="s">
        <v>72</v>
      </c>
      <c r="D58" s="36" t="n">
        <v>81200</v>
      </c>
      <c r="E58" s="37" t="n">
        <f aca="false">Personal!AC19</f>
        <v>75200</v>
      </c>
      <c r="F58" s="38" t="n">
        <f aca="false">D58-E58</f>
        <v>6000</v>
      </c>
      <c r="G58" s="39" t="s">
        <v>73</v>
      </c>
    </row>
    <row r="59" customFormat="false" ht="21.25" hidden="false" customHeight="true" outlineLevel="0" collapsed="false">
      <c r="C59" s="30" t="s">
        <v>74</v>
      </c>
      <c r="D59" s="36" t="n">
        <v>91200</v>
      </c>
      <c r="E59" s="37" t="n">
        <f aca="false">Personal!AC20</f>
        <v>81200</v>
      </c>
      <c r="F59" s="38" t="n">
        <f aca="false">D59-E59</f>
        <v>10000</v>
      </c>
      <c r="G59" s="39" t="s">
        <v>75</v>
      </c>
    </row>
    <row r="60" customFormat="false" ht="21.75" hidden="false" customHeight="false" outlineLevel="0" collapsed="false">
      <c r="C60" s="40" t="s">
        <v>76</v>
      </c>
      <c r="D60" s="41" t="n">
        <f aca="false">SUM(D51:D59)</f>
        <v>2243600</v>
      </c>
      <c r="E60" s="41" t="n">
        <f aca="false">SUM(E51:E59)</f>
        <v>2168400</v>
      </c>
      <c r="F60" s="41" t="n">
        <f aca="false">SUM(F51:F59)</f>
        <v>75200</v>
      </c>
      <c r="G60" s="9" t="s">
        <v>77</v>
      </c>
    </row>
  </sheetData>
  <mergeCells count="10">
    <mergeCell ref="C4:L4"/>
    <mergeCell ref="C9:G9"/>
    <mergeCell ref="C20:H20"/>
    <mergeCell ref="C28:I28"/>
    <mergeCell ref="C41:L41"/>
    <mergeCell ref="C42:L42"/>
    <mergeCell ref="C43:L43"/>
    <mergeCell ref="C44:L44"/>
    <mergeCell ref="C45:L45"/>
    <mergeCell ref="C46:L46"/>
  </mergeCells>
  <printOptions headings="true" gridLines="false" gridLinesSet="true" horizontalCentered="false" verticalCentered="false"/>
  <pageMargins left="0.75" right="0.75" top="1" bottom="0.958333333333333" header="0.511811023622047" footer="0.5"/>
  <pageSetup paperSize="1"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&amp;C&amp;8 &amp;K666666Resumen | Página &amp;P de &amp;N</oddFooter>
  </headerFooter>
  <rowBreaks count="1" manualBreakCount="1">
    <brk id="48" man="true" max="16383" min="0"/>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421875" defaultRowHeight="15" zeroHeight="false" outlineLevelRow="0" outlineLevelCol="0"/>
  <cols>
    <col collapsed="false" customWidth="true" hidden="false" outlineLevel="0" max="2" min="1" style="1" width="20"/>
    <col collapsed="false" customWidth="true" hidden="false" outlineLevel="0" max="3" min="3" style="1" width="34"/>
    <col collapsed="false" customWidth="true" hidden="false" outlineLevel="0" max="4" min="4" style="1" width="28"/>
    <col collapsed="false" customWidth="true" hidden="false" outlineLevel="0" max="6" min="5" style="1" width="34"/>
    <col collapsed="false" customWidth="true" hidden="false" outlineLevel="0" max="7" min="7" style="1" width="26"/>
    <col collapsed="false" customWidth="true" hidden="false" outlineLevel="0" max="8" min="8" style="1" width="34"/>
    <col collapsed="false" customWidth="true" hidden="false" outlineLevel="0" max="10" min="9" style="1" width="12"/>
  </cols>
  <sheetData>
    <row r="1" customFormat="false" ht="15" hidden="false" customHeight="true" outlineLevel="0" collapsed="false">
      <c r="A1" s="2"/>
      <c r="B1" s="2"/>
      <c r="C1" s="2"/>
      <c r="D1" s="2"/>
      <c r="E1" s="2"/>
      <c r="F1" s="2"/>
      <c r="G1" s="2"/>
      <c r="H1" s="2"/>
      <c r="I1" s="2"/>
      <c r="J1" s="2"/>
    </row>
    <row r="4" customFormat="false" ht="24.75" hidden="false" customHeight="true" outlineLevel="0" collapsed="false">
      <c r="C4" s="3" t="s">
        <v>78</v>
      </c>
      <c r="D4" s="3"/>
      <c r="E4" s="3"/>
      <c r="F4" s="3"/>
      <c r="G4" s="3"/>
      <c r="H4" s="3"/>
      <c r="I4" s="3"/>
      <c r="J4" s="3"/>
    </row>
    <row r="6" customFormat="false" ht="15" hidden="false" customHeight="true" outlineLevel="0" collapsed="false">
      <c r="C6" s="4" t="s">
        <v>79</v>
      </c>
    </row>
    <row r="7" customFormat="false" ht="15" hidden="false" customHeight="true" outlineLevel="0" collapsed="false">
      <c r="C7" s="5" t="s">
        <v>80</v>
      </c>
    </row>
    <row r="9" customFormat="false" ht="19.5" hidden="false" customHeight="true" outlineLevel="0" collapsed="false">
      <c r="C9" s="6" t="s">
        <v>81</v>
      </c>
      <c r="D9" s="6"/>
      <c r="E9" s="6"/>
      <c r="F9" s="6"/>
    </row>
    <row r="10" customFormat="false" ht="15" hidden="false" customHeight="true" outlineLevel="0" collapsed="false">
      <c r="C10" s="42" t="s">
        <v>82</v>
      </c>
      <c r="D10" s="43" t="n">
        <v>6</v>
      </c>
    </row>
    <row r="11" customFormat="false" ht="15" hidden="false" customHeight="true" outlineLevel="0" collapsed="false">
      <c r="C11" s="11" t="s">
        <v>83</v>
      </c>
      <c r="D11" s="44" t="n">
        <v>6</v>
      </c>
    </row>
    <row r="12" customFormat="false" ht="15" hidden="false" customHeight="true" outlineLevel="0" collapsed="false">
      <c r="C12" s="11" t="s">
        <v>84</v>
      </c>
      <c r="D12" s="45" t="n">
        <v>0</v>
      </c>
    </row>
    <row r="13" customFormat="false" ht="15" hidden="false" customHeight="true" outlineLevel="0" collapsed="false">
      <c r="C13" s="11" t="s">
        <v>85</v>
      </c>
      <c r="D13" s="45" t="n">
        <v>0</v>
      </c>
    </row>
    <row r="14" customFormat="false" ht="15" hidden="false" customHeight="true" outlineLevel="0" collapsed="false">
      <c r="C14" s="16" t="s">
        <v>86</v>
      </c>
      <c r="D14" s="46" t="n">
        <v>1</v>
      </c>
    </row>
    <row r="17" customFormat="false" ht="19.5" hidden="false" customHeight="true" outlineLevel="0" collapsed="false">
      <c r="C17" s="6" t="s">
        <v>87</v>
      </c>
      <c r="D17" s="6"/>
      <c r="E17" s="6"/>
      <c r="F17" s="6"/>
    </row>
    <row r="18" customFormat="false" ht="33.75" hidden="false" customHeight="true" outlineLevel="0" collapsed="false">
      <c r="C18" s="7" t="s">
        <v>88</v>
      </c>
      <c r="D18" s="7" t="s">
        <v>89</v>
      </c>
      <c r="E18" s="7" t="s">
        <v>90</v>
      </c>
      <c r="F18" s="7" t="s">
        <v>91</v>
      </c>
    </row>
    <row r="19" customFormat="false" ht="24" hidden="false" customHeight="true" outlineLevel="0" collapsed="false">
      <c r="C19" s="47" t="s">
        <v>92</v>
      </c>
      <c r="D19" s="48" t="s">
        <v>93</v>
      </c>
      <c r="E19" s="47" t="s">
        <v>94</v>
      </c>
      <c r="F19" s="47" t="s">
        <v>93</v>
      </c>
    </row>
    <row r="20" customFormat="false" ht="24" hidden="false" customHeight="true" outlineLevel="0" collapsed="false">
      <c r="C20" s="49" t="s">
        <v>95</v>
      </c>
      <c r="D20" s="50" t="s">
        <v>96</v>
      </c>
      <c r="E20" s="49" t="s">
        <v>97</v>
      </c>
      <c r="F20" s="49" t="s">
        <v>93</v>
      </c>
    </row>
    <row r="21" customFormat="false" ht="24" hidden="false" customHeight="true" outlineLevel="0" collapsed="false">
      <c r="C21" s="49" t="s">
        <v>98</v>
      </c>
      <c r="D21" s="50" t="s">
        <v>93</v>
      </c>
      <c r="E21" s="49" t="s">
        <v>99</v>
      </c>
      <c r="F21" s="49" t="s">
        <v>93</v>
      </c>
    </row>
    <row r="22" customFormat="false" ht="24" hidden="false" customHeight="true" outlineLevel="0" collapsed="false">
      <c r="C22" s="51" t="s">
        <v>100</v>
      </c>
      <c r="D22" s="52" t="s">
        <v>100</v>
      </c>
      <c r="E22" s="51" t="s">
        <v>101</v>
      </c>
      <c r="F22" s="51" t="s">
        <v>93</v>
      </c>
    </row>
    <row r="25" customFormat="false" ht="19.5" hidden="false" customHeight="true" outlineLevel="0" collapsed="false">
      <c r="C25" s="6" t="s">
        <v>102</v>
      </c>
      <c r="D25" s="6"/>
      <c r="E25" s="6"/>
      <c r="F25" s="6"/>
      <c r="G25" s="6"/>
      <c r="H25" s="6"/>
    </row>
    <row r="26" customFormat="false" ht="33.75" hidden="false" customHeight="true" outlineLevel="0" collapsed="false">
      <c r="C26" s="7" t="s">
        <v>103</v>
      </c>
      <c r="D26" s="7" t="s">
        <v>104</v>
      </c>
      <c r="E26" s="7" t="s">
        <v>105</v>
      </c>
      <c r="F26" s="7" t="s">
        <v>106</v>
      </c>
      <c r="G26" s="7" t="s">
        <v>107</v>
      </c>
      <c r="H26" s="7" t="s">
        <v>108</v>
      </c>
    </row>
    <row r="27" customFormat="false" ht="33.75" hidden="false" customHeight="true" outlineLevel="0" collapsed="false">
      <c r="C27" s="10" t="s">
        <v>109</v>
      </c>
      <c r="D27" s="10" t="s">
        <v>110</v>
      </c>
      <c r="E27" s="10" t="s">
        <v>111</v>
      </c>
      <c r="F27" s="10" t="s">
        <v>112</v>
      </c>
      <c r="G27" s="10" t="s">
        <v>113</v>
      </c>
      <c r="H27" s="10" t="s">
        <v>114</v>
      </c>
    </row>
    <row r="28" customFormat="false" ht="33.75" hidden="false" customHeight="true" outlineLevel="0" collapsed="false">
      <c r="C28" s="13" t="s">
        <v>115</v>
      </c>
      <c r="D28" s="13" t="s">
        <v>93</v>
      </c>
      <c r="E28" s="13" t="s">
        <v>116</v>
      </c>
      <c r="F28" s="13" t="s">
        <v>93</v>
      </c>
      <c r="G28" s="13" t="s">
        <v>113</v>
      </c>
      <c r="H28" s="13" t="s">
        <v>117</v>
      </c>
    </row>
    <row r="29" customFormat="false" ht="33.75" hidden="false" customHeight="true" outlineLevel="0" collapsed="false">
      <c r="C29" s="13" t="s">
        <v>118</v>
      </c>
      <c r="D29" s="13" t="s">
        <v>93</v>
      </c>
      <c r="E29" s="13" t="s">
        <v>93</v>
      </c>
      <c r="F29" s="13" t="s">
        <v>93</v>
      </c>
      <c r="G29" s="13" t="s">
        <v>113</v>
      </c>
      <c r="H29" s="13" t="s">
        <v>119</v>
      </c>
    </row>
    <row r="30" customFormat="false" ht="33.75" hidden="false" customHeight="true" outlineLevel="0" collapsed="false">
      <c r="C30" s="13" t="s">
        <v>120</v>
      </c>
      <c r="D30" s="13" t="s">
        <v>93</v>
      </c>
      <c r="E30" s="13" t="s">
        <v>96</v>
      </c>
      <c r="F30" s="13" t="s">
        <v>93</v>
      </c>
      <c r="G30" s="13" t="s">
        <v>113</v>
      </c>
      <c r="H30" s="13" t="s">
        <v>121</v>
      </c>
    </row>
    <row r="31" customFormat="false" ht="33.75" hidden="false" customHeight="true" outlineLevel="0" collapsed="false">
      <c r="C31" s="13" t="s">
        <v>122</v>
      </c>
      <c r="D31" s="13" t="s">
        <v>93</v>
      </c>
      <c r="E31" s="13" t="s">
        <v>93</v>
      </c>
      <c r="F31" s="13" t="s">
        <v>93</v>
      </c>
      <c r="G31" s="13" t="s">
        <v>113</v>
      </c>
      <c r="H31" s="13" t="s">
        <v>119</v>
      </c>
    </row>
    <row r="32" customFormat="false" ht="33.75" hidden="false" customHeight="true" outlineLevel="0" collapsed="false">
      <c r="C32" s="13" t="s">
        <v>123</v>
      </c>
      <c r="D32" s="13" t="s">
        <v>124</v>
      </c>
      <c r="E32" s="13" t="s">
        <v>125</v>
      </c>
      <c r="F32" s="13" t="s">
        <v>126</v>
      </c>
      <c r="G32" s="13" t="s">
        <v>127</v>
      </c>
      <c r="H32" s="13" t="s">
        <v>128</v>
      </c>
    </row>
    <row r="33" customFormat="false" ht="33.75" hidden="false" customHeight="true" outlineLevel="0" collapsed="false">
      <c r="C33" s="18" t="s">
        <v>129</v>
      </c>
      <c r="D33" s="18" t="s">
        <v>130</v>
      </c>
      <c r="E33" s="18" t="s">
        <v>131</v>
      </c>
      <c r="F33" s="18" t="s">
        <v>131</v>
      </c>
      <c r="G33" s="18" t="s">
        <v>132</v>
      </c>
      <c r="H33" s="18" t="s">
        <v>133</v>
      </c>
    </row>
    <row r="36" customFormat="false" ht="19.5" hidden="false" customHeight="true" outlineLevel="0" collapsed="false">
      <c r="C36" s="6" t="s">
        <v>134</v>
      </c>
      <c r="D36" s="6"/>
      <c r="E36" s="6"/>
      <c r="F36" s="6"/>
      <c r="G36" s="6"/>
      <c r="H36" s="6"/>
      <c r="I36" s="6"/>
      <c r="J36" s="6"/>
    </row>
    <row r="37" customFormat="false" ht="30" hidden="false" customHeight="true" outlineLevel="0" collapsed="false">
      <c r="C37" s="53" t="s">
        <v>135</v>
      </c>
      <c r="D37" s="53"/>
      <c r="E37" s="53"/>
      <c r="F37" s="53"/>
      <c r="G37" s="53"/>
      <c r="H37" s="53"/>
      <c r="I37" s="53"/>
      <c r="J37" s="53"/>
    </row>
    <row r="38" customFormat="false" ht="30" hidden="false" customHeight="true" outlineLevel="0" collapsed="false">
      <c r="C38" s="53"/>
      <c r="D38" s="53"/>
      <c r="E38" s="53"/>
      <c r="F38" s="53"/>
      <c r="G38" s="53"/>
      <c r="H38" s="53"/>
      <c r="I38" s="53"/>
      <c r="J38" s="53"/>
    </row>
    <row r="39" customFormat="false" ht="30" hidden="false" customHeight="true" outlineLevel="0" collapsed="false">
      <c r="C39" s="53"/>
      <c r="D39" s="53"/>
      <c r="E39" s="53"/>
      <c r="F39" s="53"/>
      <c r="G39" s="53"/>
      <c r="H39" s="53"/>
      <c r="I39" s="53"/>
      <c r="J39" s="53"/>
    </row>
  </sheetData>
  <mergeCells count="6">
    <mergeCell ref="C4:J4"/>
    <mergeCell ref="C9:F9"/>
    <mergeCell ref="C17:F17"/>
    <mergeCell ref="C25:H25"/>
    <mergeCell ref="C36:J36"/>
    <mergeCell ref="C37:J39"/>
  </mergeCells>
  <printOptions headings="true" gridLines="false" gridLinesSet="true" horizontalCentered="false" verticalCentered="false"/>
  <pageMargins left="0.75" right="0.75" top="1" bottom="0.958333333333333" header="0.511811023622047" footer="0.5"/>
  <pageSetup paperSize="1"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&amp;C&amp;8 &amp;K666666Supuestos | Página &amp;P de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11" activePane="bottomRight" state="frozen"/>
      <selection pane="topLeft" activeCell="A1" activeCellId="0" sqref="A1"/>
      <selection pane="topRight" activeCell="F1" activeCellId="0" sqref="F1"/>
      <selection pane="bottomLeft" activeCell="A11" activeCellId="0" sqref="A11"/>
      <selection pane="bottomRight" activeCell="A1" activeCellId="0" sqref="A1"/>
    </sheetView>
  </sheetViews>
  <sheetFormatPr defaultColWidth="8.57421875" defaultRowHeight="15" zeroHeight="false" outlineLevelRow="0" outlineLevelCol="0"/>
  <cols>
    <col collapsed="false" customWidth="true" hidden="false" outlineLevel="0" max="2" min="1" style="1" width="20"/>
    <col collapsed="false" customWidth="true" hidden="false" outlineLevel="0" max="3" min="3" style="1" width="11"/>
    <col collapsed="false" customWidth="true" hidden="false" outlineLevel="0" max="4" min="4" style="1" width="33"/>
    <col collapsed="false" customWidth="true" hidden="false" outlineLevel="0" max="5" min="5" style="1" width="23"/>
    <col collapsed="false" customWidth="true" hidden="false" outlineLevel="0" max="6" min="6" style="1" width="13"/>
    <col collapsed="false" customWidth="true" hidden="false" outlineLevel="0" max="8" min="7" style="1" width="11"/>
    <col collapsed="false" customWidth="true" hidden="false" outlineLevel="0" max="9" min="9" style="1" width="12"/>
    <col collapsed="false" customWidth="true" hidden="false" outlineLevel="0" max="10" min="10" style="1" width="11"/>
    <col collapsed="false" customWidth="true" hidden="false" outlineLevel="0" max="11" min="11" style="1" width="14"/>
    <col collapsed="false" customWidth="true" hidden="false" outlineLevel="0" max="12" min="12" style="1" width="12"/>
    <col collapsed="false" customWidth="true" hidden="false" outlineLevel="0" max="14" min="13" style="1" width="11"/>
    <col collapsed="false" customWidth="true" hidden="false" outlineLevel="0" max="15" min="15" style="1" width="16"/>
    <col collapsed="false" customWidth="true" hidden="false" outlineLevel="0" max="17" min="16" style="1" width="11"/>
    <col collapsed="false" customWidth="true" hidden="false" outlineLevel="0" max="18" min="18" style="1" width="12"/>
    <col collapsed="false" customWidth="true" hidden="false" outlineLevel="0" max="19" min="19" style="1" width="11"/>
    <col collapsed="false" customWidth="true" hidden="false" outlineLevel="0" max="20" min="20" style="1" width="14"/>
    <col collapsed="false" customWidth="true" hidden="false" outlineLevel="0" max="21" min="21" style="1" width="11"/>
    <col collapsed="false" customWidth="true" hidden="false" outlineLevel="0" max="22" min="22" style="1" width="12"/>
    <col collapsed="false" customWidth="true" hidden="false" outlineLevel="0" max="23" min="23" style="1" width="13"/>
    <col collapsed="false" customWidth="true" hidden="false" outlineLevel="0" max="24" min="24" style="1" width="12"/>
    <col collapsed="false" customWidth="true" hidden="false" outlineLevel="0" max="25" min="25" style="1" width="11"/>
    <col collapsed="false" customWidth="true" hidden="false" outlineLevel="0" max="26" min="26" style="1" width="12"/>
    <col collapsed="false" customWidth="true" hidden="false" outlineLevel="0" max="27" min="27" style="1" width="19"/>
    <col collapsed="false" customWidth="true" hidden="false" outlineLevel="0" max="29" min="28" style="1" width="11"/>
    <col collapsed="false" customWidth="true" hidden="false" outlineLevel="0" max="30" min="30" style="1" width="13"/>
    <col collapsed="false" customWidth="true" hidden="false" outlineLevel="0" max="31" min="31" style="1" width="17"/>
    <col collapsed="false" customWidth="true" hidden="false" outlineLevel="0" max="32" min="32" style="1" width="18"/>
    <col collapsed="false" customWidth="true" hidden="false" outlineLevel="0" max="33" min="33" style="1" width="15"/>
    <col collapsed="false" customWidth="true" hidden="false" outlineLevel="0" max="34" min="34" style="1" width="17"/>
    <col collapsed="false" customWidth="true" hidden="false" outlineLevel="0" max="35" min="35" style="1" width="15"/>
    <col collapsed="false" customWidth="true" hidden="false" outlineLevel="0" max="36" min="36" style="1" width="12.59"/>
    <col collapsed="false" customWidth="true" hidden="false" outlineLevel="0" max="37" min="37" style="1" width="14.85"/>
    <col collapsed="false" customWidth="true" hidden="false" outlineLevel="0" max="38" min="38" style="1" width="9.9"/>
    <col collapsed="false" customWidth="true" hidden="false" outlineLevel="0" max="39" min="39" style="1" width="13.5"/>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4" customFormat="false" ht="24.75" hidden="false" customHeight="true" outlineLevel="0" collapsed="false">
      <c r="C4" s="3" t="s">
        <v>136</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6" customFormat="false" ht="15" hidden="false" customHeight="true" outlineLevel="0" collapsed="false">
      <c r="C6" s="4" t="s">
        <v>137</v>
      </c>
    </row>
    <row r="7" customFormat="false" ht="15" hidden="false" customHeight="true" outlineLevel="0" collapsed="false">
      <c r="C7" s="5" t="s">
        <v>138</v>
      </c>
    </row>
    <row r="9" customFormat="false" ht="19.5" hidden="false" customHeight="true" outlineLevel="0" collapsed="false">
      <c r="C9" s="6" t="s">
        <v>139</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1" customFormat="false" ht="33.75" hidden="false" customHeight="true" outlineLevel="0" collapsed="false">
      <c r="C11" s="7" t="s">
        <v>140</v>
      </c>
      <c r="D11" s="7" t="s">
        <v>42</v>
      </c>
      <c r="E11" s="7" t="s">
        <v>41</v>
      </c>
      <c r="F11" s="7" t="s">
        <v>141</v>
      </c>
      <c r="G11" s="7" t="s">
        <v>142</v>
      </c>
      <c r="H11" s="7" t="s">
        <v>143</v>
      </c>
      <c r="I11" s="7" t="s">
        <v>144</v>
      </c>
      <c r="J11" s="7" t="s">
        <v>145</v>
      </c>
      <c r="K11" s="7" t="s">
        <v>146</v>
      </c>
      <c r="L11" s="7" t="s">
        <v>147</v>
      </c>
      <c r="M11" s="7" t="s">
        <v>148</v>
      </c>
      <c r="N11" s="7" t="s">
        <v>149</v>
      </c>
      <c r="O11" s="7" t="s">
        <v>150</v>
      </c>
      <c r="P11" s="7" t="s">
        <v>151</v>
      </c>
      <c r="Q11" s="7" t="s">
        <v>152</v>
      </c>
      <c r="R11" s="7" t="s">
        <v>153</v>
      </c>
      <c r="S11" s="7" t="s">
        <v>154</v>
      </c>
      <c r="T11" s="7" t="s">
        <v>155</v>
      </c>
      <c r="U11" s="7" t="s">
        <v>156</v>
      </c>
      <c r="V11" s="7" t="s">
        <v>157</v>
      </c>
      <c r="W11" s="7" t="s">
        <v>158</v>
      </c>
      <c r="X11" s="7" t="s">
        <v>159</v>
      </c>
      <c r="Y11" s="7" t="s">
        <v>160</v>
      </c>
      <c r="Z11" s="7" t="s">
        <v>161</v>
      </c>
      <c r="AA11" s="7" t="s">
        <v>162</v>
      </c>
      <c r="AB11" s="7" t="s">
        <v>163</v>
      </c>
      <c r="AC11" s="7" t="s">
        <v>164</v>
      </c>
      <c r="AD11" s="7" t="s">
        <v>165</v>
      </c>
      <c r="AE11" s="7" t="s">
        <v>166</v>
      </c>
      <c r="AF11" s="7" t="s">
        <v>167</v>
      </c>
      <c r="AG11" s="7" t="s">
        <v>168</v>
      </c>
      <c r="AH11" s="7" t="s">
        <v>169</v>
      </c>
      <c r="AI11" s="7" t="s">
        <v>170</v>
      </c>
      <c r="AJ11" s="7" t="s">
        <v>171</v>
      </c>
      <c r="AK11" s="7" t="s">
        <v>172</v>
      </c>
      <c r="AL11" s="7" t="s">
        <v>173</v>
      </c>
      <c r="AM11" s="7" t="s">
        <v>174</v>
      </c>
    </row>
    <row r="12" customFormat="false" ht="27.75" hidden="false" customHeight="true" outlineLevel="0" collapsed="false">
      <c r="C12" s="54" t="n">
        <v>1</v>
      </c>
      <c r="D12" s="55" t="s">
        <v>175</v>
      </c>
      <c r="E12" s="55" t="s">
        <v>59</v>
      </c>
      <c r="F12" s="56" t="n">
        <v>360000</v>
      </c>
      <c r="G12" s="57" t="n">
        <v>36000</v>
      </c>
      <c r="H12" s="57" t="n">
        <v>12000</v>
      </c>
      <c r="I12" s="57" t="n">
        <v>20000</v>
      </c>
      <c r="J12" s="57" t="n">
        <v>24000</v>
      </c>
      <c r="K12" s="57" t="n">
        <v>72000</v>
      </c>
      <c r="L12" s="58" t="n">
        <f aca="false">SUM(F12:K12)</f>
        <v>524000</v>
      </c>
      <c r="M12" s="57" t="n">
        <v>524000</v>
      </c>
      <c r="N12" s="59" t="n">
        <f aca="false">L12-M12</f>
        <v>0</v>
      </c>
      <c r="O12" s="60" t="n">
        <f aca="false">F12/12*Supuestos!$D$10</f>
        <v>180000</v>
      </c>
      <c r="P12" s="61" t="n">
        <f aca="false">G12/12*Supuestos!$D$10</f>
        <v>18000</v>
      </c>
      <c r="Q12" s="61" t="n">
        <f aca="false">H12/12*Supuestos!$D$10</f>
        <v>6000</v>
      </c>
      <c r="R12" s="61" t="n">
        <f aca="false">I12/12*Supuestos!$D$10</f>
        <v>10000</v>
      </c>
      <c r="S12" s="61" t="n">
        <f aca="false">J12/12*Supuestos!$D$10</f>
        <v>12000</v>
      </c>
      <c r="T12" s="61" t="n">
        <f aca="false">K12/12*Supuestos!$D$10*Supuestos!$D$12</f>
        <v>0</v>
      </c>
      <c r="U12" s="62" t="n">
        <f aca="false">SUM(O12:T12)</f>
        <v>226000</v>
      </c>
      <c r="V12" s="63" t="s">
        <v>176</v>
      </c>
      <c r="W12" s="63" t="s">
        <v>100</v>
      </c>
      <c r="X12" s="63" t="s">
        <v>177</v>
      </c>
      <c r="Y12" s="64" t="str">
        <f aca="false">IF(X12="Automático",IF(W12="Caracas","Sí",IF(W12="Maracaibo","No",IF(W12="Otro","Sí","Por definir"))),X12)</f>
        <v>Por definir</v>
      </c>
      <c r="Z12" s="56" t="n">
        <v>0</v>
      </c>
      <c r="AA12" s="60" t="n">
        <f aca="false">IF(V12="Expatriado",F12+IF(AM12&gt;0,AM12,G12)+H12+I12+J12+K12*Supuestos!$D$14,IF(V12="Repatriado",F12+H12+J12+K12*Supuestos!$D$13+IF(Y12="No",0,IF(AM12&gt;0,AM12,G12))+AJ12,IF(V12="Remote",F12,IF(V12="Local",F12+H12+J12+K12*Supuestos!$D$13+IF(Y12="No",0,IF(AM12&gt;0,AM12,G12))+AJ12,IF(V12="On rotation",F12+IF(AM12&gt;0,AM12,G12)+H12+I12+J12+K12*Supuestos!$D$14,0)))))/12*Supuestos!$D$11</f>
        <v>262000</v>
      </c>
      <c r="AB12" s="62" t="n">
        <f aca="false">AA12+Z12</f>
        <v>262000</v>
      </c>
      <c r="AC12" s="62" t="n">
        <f aca="false">U12+AB12</f>
        <v>488000</v>
      </c>
      <c r="AD12" s="59" t="n">
        <f aca="false">M12-AC12</f>
        <v>36000</v>
      </c>
      <c r="AE12" s="61" t="n">
        <f aca="false">IF(V12="Expatriado",F12+IF(AM12&gt;0,AM12,G12)+H12+I12+J12+K12*Supuestos!$D$14,IF(V12="Repatriado",F12+H12+J12+K12*Supuestos!$D$13+IF(Y12="No",0,IF(AM12&gt;0,AM12,G12))+AJ12,IF(V12="Remote",F12,IF(V12="Local",F12+H12+J12+K12*Supuestos!$D$13+IF(Y12="No",0,IF(AM12&gt;0,AM12,G12))+AJ12,IF(V12="On rotation",F12+IF(AM12&gt;0,AM12,G12)+H12+I12+J12+K12*Supuestos!$D$14,0)))))</f>
        <v>524000</v>
      </c>
      <c r="AF12" s="65" t="str">
        <f aca="false">IF(V12="Por definir","Definir paquete",IF(OR(V12="Remote",V12="On rotation"),"Completo",IF(W12="Por definir","Definir ciudad",IF(AND(OR(V12="Repatriado",V12="Local"),Y12="Por definir"),"Definir vivienda","Completo"))))</f>
        <v>Definir ciudad</v>
      </c>
      <c r="AG12" s="60" t="n">
        <f aca="false">U12/Supuestos!$D$10</f>
        <v>37666.6666666667</v>
      </c>
      <c r="AH12" s="61" t="n">
        <f aca="false">AA12/Supuestos!$D$11</f>
        <v>43666.6666666667</v>
      </c>
      <c r="AI12" s="59" t="n">
        <f aca="false">AH12+Z12</f>
        <v>43666.6666666667</v>
      </c>
      <c r="AJ12" s="59" t="n">
        <f aca="false">0</f>
        <v>0</v>
      </c>
      <c r="AK12" s="59" t="n">
        <f aca="false">0</f>
        <v>0</v>
      </c>
      <c r="AL12" s="66" t="n">
        <f aca="false">0</f>
        <v>0</v>
      </c>
      <c r="AM12" s="66" t="n">
        <f aca="false">0</f>
        <v>0</v>
      </c>
    </row>
    <row r="13" customFormat="false" ht="27.75" hidden="false" customHeight="true" outlineLevel="0" collapsed="false">
      <c r="C13" s="54" t="n">
        <v>2</v>
      </c>
      <c r="D13" s="55" t="s">
        <v>178</v>
      </c>
      <c r="E13" s="55" t="s">
        <v>61</v>
      </c>
      <c r="F13" s="56" t="n">
        <v>216000</v>
      </c>
      <c r="G13" s="57" t="n">
        <v>24000</v>
      </c>
      <c r="H13" s="57" t="n">
        <v>12000</v>
      </c>
      <c r="I13" s="57" t="n">
        <v>12000</v>
      </c>
      <c r="J13" s="57" t="n">
        <v>18000</v>
      </c>
      <c r="K13" s="57" t="n">
        <v>43200</v>
      </c>
      <c r="L13" s="58" t="n">
        <f aca="false">SUM(F13:K13)</f>
        <v>325200</v>
      </c>
      <c r="M13" s="57" t="n">
        <v>325200</v>
      </c>
      <c r="N13" s="59" t="n">
        <f aca="false">L13-M13</f>
        <v>0</v>
      </c>
      <c r="O13" s="60" t="n">
        <f aca="false">F13/12*Supuestos!$D$10</f>
        <v>108000</v>
      </c>
      <c r="P13" s="61" t="n">
        <f aca="false">G13/12*Supuestos!$D$10</f>
        <v>12000</v>
      </c>
      <c r="Q13" s="61" t="n">
        <f aca="false">H13/12*Supuestos!$D$10</f>
        <v>6000</v>
      </c>
      <c r="R13" s="61" t="n">
        <f aca="false">I13/12*Supuestos!$D$10</f>
        <v>6000</v>
      </c>
      <c r="S13" s="61" t="n">
        <f aca="false">J13/12*Supuestos!$D$10</f>
        <v>9000</v>
      </c>
      <c r="T13" s="61" t="n">
        <f aca="false">K13/12*Supuestos!$D$10*Supuestos!$D$12</f>
        <v>0</v>
      </c>
      <c r="U13" s="62" t="n">
        <f aca="false">SUM(O13:T13)</f>
        <v>141000</v>
      </c>
      <c r="V13" s="63" t="s">
        <v>179</v>
      </c>
      <c r="W13" s="63" t="s">
        <v>95</v>
      </c>
      <c r="X13" s="63" t="s">
        <v>177</v>
      </c>
      <c r="Y13" s="64" t="str">
        <f aca="false">IF(X13="Automático",IF(W13="Caracas","No",IF(W13="Maracaibo","Sí",IF(W13="Otro","Sí","Por definir"))),X13)</f>
        <v>Sí</v>
      </c>
      <c r="Z13" s="56" t="n">
        <v>0</v>
      </c>
      <c r="AA13" s="60" t="n">
        <f aca="false">IF(V13="Expatriado",F13+IF(AM13&gt;0,AM13,G13)+H13+I13+J13+K13*Supuestos!$D$14,IF(V13="Repatriado",F13+H13+J13+K13*Supuestos!$D$13+IF(Y13="No",0,IF(AM13&gt;0,AM13,G13))+AJ13,IF(V13="Remote",F13,IF(V13="Local",F13+H13+J13+K13*Supuestos!$D$13+IF(Y13="No",0,IF(AM13&gt;0,AM13,G13))+AJ13,IF(V13="On rotation",F13+IF(AM13&gt;0,AM13,G13)+H13+I13+J13+K13*Supuestos!$D$14,0)))))/12*Supuestos!$D$11</f>
        <v>171000</v>
      </c>
      <c r="AB13" s="62" t="n">
        <f aca="false">AA13+Z13</f>
        <v>171000</v>
      </c>
      <c r="AC13" s="62" t="n">
        <f aca="false">U13+AB13</f>
        <v>312000</v>
      </c>
      <c r="AD13" s="59" t="n">
        <f aca="false">M13-AC13</f>
        <v>13200</v>
      </c>
      <c r="AE13" s="61" t="n">
        <f aca="false">IF(V13="Expatriado",F13+IF(AM13&gt;0,AM13,G13)+H13+I13+J13+K13*Supuestos!$D$14,IF(V13="Repatriado",F13+H13+J13+K13*Supuestos!$D$13+IF(Y13="No",0,IF(AM13&gt;0,AM13,G13))+AJ13,IF(V13="Remote",F13,IF(V13="Local",F13+H13+J13+K13*Supuestos!$D$13+IF(Y13="No",0,IF(AM13&gt;0,AM13,G13))+AJ13,IF(V13="On rotation",F13+IF(AM13&gt;0,AM13,G13)+H13+I13+J13+K13*Supuestos!$D$14,0)))))</f>
        <v>342000</v>
      </c>
      <c r="AF13" s="65" t="str">
        <f aca="false">IF(V13="Por definir","Definir paquete",IF(OR(V13="Remote",V13="On rotation"),"Completo",IF(W13="Por definir","Definir ciudad",IF(AND(OR(V13="Repatriado",V13="Local"),Y13="Por definir"),"Definir vivienda","Completo"))))</f>
        <v>Completo</v>
      </c>
      <c r="AG13" s="60" t="n">
        <f aca="false">U13/Supuestos!$D$10</f>
        <v>23500</v>
      </c>
      <c r="AH13" s="61" t="n">
        <f aca="false">AA13/Supuestos!$D$11</f>
        <v>28500</v>
      </c>
      <c r="AI13" s="59" t="n">
        <f aca="false">AH13+Z13</f>
        <v>28500</v>
      </c>
      <c r="AJ13" s="59" t="n">
        <f aca="false">F13*4/12</f>
        <v>72000</v>
      </c>
      <c r="AK13" s="57" t="s">
        <v>74</v>
      </c>
      <c r="AL13" s="54" t="n">
        <v>13</v>
      </c>
      <c r="AM13" s="66" t="n">
        <f aca="false">0</f>
        <v>0</v>
      </c>
    </row>
    <row r="14" customFormat="false" ht="27.75" hidden="false" customHeight="true" outlineLevel="0" collapsed="false">
      <c r="C14" s="54" t="n">
        <v>3</v>
      </c>
      <c r="D14" s="55" t="s">
        <v>180</v>
      </c>
      <c r="E14" s="55" t="s">
        <v>63</v>
      </c>
      <c r="F14" s="56" t="n">
        <v>180000</v>
      </c>
      <c r="G14" s="57" t="n">
        <v>24000</v>
      </c>
      <c r="H14" s="57" t="n">
        <v>12000</v>
      </c>
      <c r="I14" s="57" t="n">
        <v>12000</v>
      </c>
      <c r="J14" s="57" t="n">
        <v>18000</v>
      </c>
      <c r="K14" s="57" t="n">
        <v>36000</v>
      </c>
      <c r="L14" s="58" t="n">
        <f aca="false">SUM(F14:K14)</f>
        <v>282000</v>
      </c>
      <c r="M14" s="57" t="n">
        <v>282000</v>
      </c>
      <c r="N14" s="59" t="n">
        <f aca="false">L14-M14</f>
        <v>0</v>
      </c>
      <c r="O14" s="60" t="n">
        <f aca="false">F14/12*Supuestos!$D$10</f>
        <v>90000</v>
      </c>
      <c r="P14" s="61" t="n">
        <f aca="false">G14/12*Supuestos!$D$10</f>
        <v>12000</v>
      </c>
      <c r="Q14" s="61" t="n">
        <f aca="false">H14/12*Supuestos!$D$10</f>
        <v>6000</v>
      </c>
      <c r="R14" s="61" t="n">
        <f aca="false">I14/12*Supuestos!$D$10</f>
        <v>6000</v>
      </c>
      <c r="S14" s="61" t="n">
        <f aca="false">J14/12*Supuestos!$D$10</f>
        <v>9000</v>
      </c>
      <c r="T14" s="61" t="n">
        <f aca="false">K14/12*Supuestos!$D$10*Supuestos!$D$12</f>
        <v>0</v>
      </c>
      <c r="U14" s="62" t="n">
        <f aca="false">SUM(O14:T14)</f>
        <v>123000</v>
      </c>
      <c r="V14" s="63" t="s">
        <v>179</v>
      </c>
      <c r="W14" s="63" t="s">
        <v>95</v>
      </c>
      <c r="X14" s="63" t="s">
        <v>96</v>
      </c>
      <c r="Y14" s="64" t="str">
        <f aca="false">IF(X14="Automático",IF(W14="Caracas","Sí",IF(W14="Maracaibo","No",IF(W14="Otro","Sí","Por definir"))),X14)</f>
        <v>No</v>
      </c>
      <c r="Z14" s="56" t="n">
        <v>0</v>
      </c>
      <c r="AA14" s="60" t="n">
        <f aca="false">IF(V14="Expatriado",F14+IF(AM14&gt;0,AM14,G14)+H14+I14+J14+K14*Supuestos!$D$14,IF(V14="Repatriado",F14+H14+J14+K14*Supuestos!$D$13+IF(Y14="No",0,IF(AM14&gt;0,AM14,G14))+AJ14,IF(V14="Remote",F14,IF(V14="Local",F14+H14+J14+K14*Supuestos!$D$13+IF(Y14="No",0,IF(AM14&gt;0,AM14,G14))+AJ14,IF(V14="On rotation",F14+IF(AM14&gt;0,AM14,G14)+H14+I14+J14+K14*Supuestos!$D$14,0)))))/12*Supuestos!$D$11</f>
        <v>135000</v>
      </c>
      <c r="AB14" s="62" t="n">
        <f aca="false">AA14+Z14</f>
        <v>135000</v>
      </c>
      <c r="AC14" s="62" t="n">
        <f aca="false">U14+AB14</f>
        <v>258000</v>
      </c>
      <c r="AD14" s="59" t="n">
        <f aca="false">M14-AC14</f>
        <v>24000</v>
      </c>
      <c r="AE14" s="61" t="n">
        <f aca="false">IF(V14="Expatriado",F14+IF(AM14&gt;0,AM14,G14)+H14+I14+J14+K14*Supuestos!$D$14,IF(V14="Repatriado",F14+H14+J14+K14*Supuestos!$D$13+IF(Y14="No",0,IF(AM14&gt;0,AM14,G14))+AJ14,IF(V14="Remote",F14,IF(V14="Local",F14+H14+J14+K14*Supuestos!$D$13+IF(Y14="No",0,IF(AM14&gt;0,AM14,G14))+AJ14,IF(V14="On rotation",F14+IF(AM14&gt;0,AM14,G14)+H14+I14+J14+K14*Supuestos!$D$14,0)))))</f>
        <v>270000</v>
      </c>
      <c r="AF14" s="65" t="str">
        <f aca="false">IF(V14="Por definir","Definir paquete",IF(OR(V14="Remote",V14="On rotation"),"Completo",IF(W14="Por definir","Definir ciudad",IF(AND(OR(V14="Repatriado",V14="Local"),Y14="Por definir"),"Definir vivienda","Completo"))))</f>
        <v>Completo</v>
      </c>
      <c r="AG14" s="60" t="n">
        <f aca="false">U14/Supuestos!$D$10</f>
        <v>20500</v>
      </c>
      <c r="AH14" s="61" t="n">
        <f aca="false">AA14/Supuestos!$D$11</f>
        <v>22500</v>
      </c>
      <c r="AI14" s="59" t="n">
        <f aca="false">AH14+Z14</f>
        <v>22500</v>
      </c>
      <c r="AJ14" s="59" t="n">
        <f aca="false">F14*4/12</f>
        <v>60000</v>
      </c>
      <c r="AK14" s="57" t="s">
        <v>74</v>
      </c>
      <c r="AL14" s="54" t="n">
        <v>13</v>
      </c>
      <c r="AM14" s="66" t="n">
        <f aca="false">0</f>
        <v>0</v>
      </c>
    </row>
    <row r="15" customFormat="false" ht="27.75" hidden="false" customHeight="true" outlineLevel="0" collapsed="false">
      <c r="C15" s="54" t="n">
        <v>4</v>
      </c>
      <c r="D15" s="55" t="s">
        <v>181</v>
      </c>
      <c r="E15" s="55" t="s">
        <v>65</v>
      </c>
      <c r="F15" s="56" t="n">
        <v>216000</v>
      </c>
      <c r="G15" s="57" t="n">
        <v>24000</v>
      </c>
      <c r="H15" s="57" t="n">
        <v>12000</v>
      </c>
      <c r="I15" s="57" t="n">
        <v>12000</v>
      </c>
      <c r="J15" s="57" t="n">
        <v>18000</v>
      </c>
      <c r="K15" s="57" t="n">
        <v>43200</v>
      </c>
      <c r="L15" s="58" t="n">
        <f aca="false">SUM(F15:K15)</f>
        <v>325200</v>
      </c>
      <c r="M15" s="57" t="n">
        <v>325200</v>
      </c>
      <c r="N15" s="59" t="n">
        <f aca="false">L15-M15</f>
        <v>0</v>
      </c>
      <c r="O15" s="60" t="n">
        <f aca="false">F15/12*Supuestos!$D$10</f>
        <v>108000</v>
      </c>
      <c r="P15" s="61" t="n">
        <f aca="false">G15/12*Supuestos!$D$10</f>
        <v>12000</v>
      </c>
      <c r="Q15" s="61" t="n">
        <f aca="false">H15/12*Supuestos!$D$10</f>
        <v>6000</v>
      </c>
      <c r="R15" s="61" t="n">
        <f aca="false">I15/12*Supuestos!$D$10</f>
        <v>6000</v>
      </c>
      <c r="S15" s="61" t="n">
        <f aca="false">J15/12*Supuestos!$D$10</f>
        <v>9000</v>
      </c>
      <c r="T15" s="61" t="n">
        <f aca="false">K15/12*Supuestos!$D$10*Supuestos!$D$12</f>
        <v>0</v>
      </c>
      <c r="U15" s="62" t="n">
        <f aca="false">SUM(O15:T15)</f>
        <v>141000</v>
      </c>
      <c r="V15" s="63" t="s">
        <v>179</v>
      </c>
      <c r="W15" s="63" t="s">
        <v>95</v>
      </c>
      <c r="X15" s="63" t="s">
        <v>177</v>
      </c>
      <c r="Y15" s="64" t="str">
        <f aca="false">IF(X15="Automático",IF(W15="Caracas","No",IF(W15="Maracaibo","Sí",IF(W15="Otro","Sí","Por definir"))),X15)</f>
        <v>Sí</v>
      </c>
      <c r="Z15" s="56" t="n">
        <v>0</v>
      </c>
      <c r="AA15" s="60" t="n">
        <f aca="false">IF(V15="Expatriado",F15+IF(AM15&gt;0,AM15,G15)+H15+I15+J15+K15*Supuestos!$D$14,IF(V15="Repatriado",F15+H15+J15+K15*Supuestos!$D$13+IF(Y15="No",0,IF(AM15&gt;0,AM15,G15))+AJ15,IF(V15="Remote",F15,IF(V15="Local",F15+H15+J15+K15*Supuestos!$D$13+IF(Y15="No",0,IF(AM15&gt;0,AM15,G15))+AJ15,IF(V15="On rotation",F15+IF(AM15&gt;0,AM15,G15)+H15+I15+J15+K15*Supuestos!$D$14,0)))))/12*Supuestos!$D$11</f>
        <v>171000</v>
      </c>
      <c r="AB15" s="62" t="n">
        <f aca="false">AA15+Z15</f>
        <v>171000</v>
      </c>
      <c r="AC15" s="62" t="n">
        <f aca="false">U15+AB15</f>
        <v>312000</v>
      </c>
      <c r="AD15" s="59" t="n">
        <f aca="false">M15-AC15</f>
        <v>13200</v>
      </c>
      <c r="AE15" s="61" t="n">
        <f aca="false">IF(V15="Expatriado",F15+IF(AM15&gt;0,AM15,G15)+H15+I15+J15+K15*Supuestos!$D$14,IF(V15="Repatriado",F15+H15+J15+K15*Supuestos!$D$13+IF(Y15="No",0,IF(AM15&gt;0,AM15,G15))+AJ15,IF(V15="Remote",F15,IF(V15="Local",F15+H15+J15+K15*Supuestos!$D$13+IF(Y15="No",0,IF(AM15&gt;0,AM15,G15))+AJ15,IF(V15="On rotation",F15+IF(AM15&gt;0,AM15,G15)+H15+I15+J15+K15*Supuestos!$D$14,0)))))</f>
        <v>342000</v>
      </c>
      <c r="AF15" s="65" t="str">
        <f aca="false">IF(V15="Por definir","Definir paquete",IF(OR(V15="Remote",V15="On rotation"),"Completo",IF(W15="Por definir","Definir ciudad",IF(AND(OR(V15="Repatriado",V15="Local"),Y15="Por definir"),"Definir vivienda","Completo"))))</f>
        <v>Completo</v>
      </c>
      <c r="AG15" s="60" t="n">
        <f aca="false">U15/Supuestos!$D$10</f>
        <v>23500</v>
      </c>
      <c r="AH15" s="61" t="n">
        <f aca="false">AA15/Supuestos!$D$11</f>
        <v>28500</v>
      </c>
      <c r="AI15" s="59" t="n">
        <f aca="false">AH15+Z15</f>
        <v>28500</v>
      </c>
      <c r="AJ15" s="59" t="n">
        <f aca="false">F15*4/12</f>
        <v>72000</v>
      </c>
      <c r="AK15" s="57" t="s">
        <v>74</v>
      </c>
      <c r="AL15" s="54" t="n">
        <v>13</v>
      </c>
      <c r="AM15" s="66" t="n">
        <f aca="false">0</f>
        <v>0</v>
      </c>
    </row>
    <row r="16" customFormat="false" ht="27.75" hidden="false" customHeight="true" outlineLevel="0" collapsed="false">
      <c r="C16" s="54" t="n">
        <v>5</v>
      </c>
      <c r="D16" s="55" t="s">
        <v>182</v>
      </c>
      <c r="E16" s="55" t="s">
        <v>66</v>
      </c>
      <c r="F16" s="56" t="n">
        <v>180000</v>
      </c>
      <c r="G16" s="57" t="n">
        <v>24000</v>
      </c>
      <c r="H16" s="57" t="n">
        <v>12000</v>
      </c>
      <c r="I16" s="57" t="n">
        <v>12000</v>
      </c>
      <c r="J16" s="57" t="n">
        <v>18000</v>
      </c>
      <c r="K16" s="57" t="n">
        <v>36000</v>
      </c>
      <c r="L16" s="58" t="n">
        <f aca="false">SUM(F16:K16)</f>
        <v>282000</v>
      </c>
      <c r="M16" s="57" t="n">
        <v>282000</v>
      </c>
      <c r="N16" s="59" t="n">
        <f aca="false">L16-M16</f>
        <v>0</v>
      </c>
      <c r="O16" s="60" t="n">
        <f aca="false">F16/12*Supuestos!$D$10</f>
        <v>90000</v>
      </c>
      <c r="P16" s="61" t="n">
        <f aca="false">G16/12*Supuestos!$D$10</f>
        <v>12000</v>
      </c>
      <c r="Q16" s="61" t="n">
        <f aca="false">H16/12*Supuestos!$D$10</f>
        <v>6000</v>
      </c>
      <c r="R16" s="61" t="n">
        <f aca="false">I16/12*Supuestos!$D$10</f>
        <v>6000</v>
      </c>
      <c r="S16" s="61" t="n">
        <f aca="false">J16/12*Supuestos!$D$10</f>
        <v>9000</v>
      </c>
      <c r="T16" s="61" t="n">
        <f aca="false">K16/12*Supuestos!$D$10*Supuestos!$D$12</f>
        <v>0</v>
      </c>
      <c r="U16" s="62" t="n">
        <f aca="false">SUM(O16:T16)</f>
        <v>123000</v>
      </c>
      <c r="V16" s="63" t="s">
        <v>176</v>
      </c>
      <c r="W16" s="63" t="s">
        <v>95</v>
      </c>
      <c r="X16" s="63" t="s">
        <v>93</v>
      </c>
      <c r="Y16" s="64" t="str">
        <f aca="false">IF(X16="Automático",IF(W16="Caracas","Sí",IF(W16="Maracaibo","No",IF(W16="Otro","Sí","Por definir"))),X16)</f>
        <v>Sí</v>
      </c>
      <c r="Z16" s="56" t="n">
        <v>0</v>
      </c>
      <c r="AA16" s="60" t="n">
        <f aca="false">IF(V16="Expatriado",F16+IF(AM16&gt;0,AM16,G16)+H16+I16+J16+K16*Supuestos!$D$14,IF(V16="Repatriado",F16+H16+J16+K16*Supuestos!$D$13+IF(Y16="No",0,IF(AM16&gt;0,AM16,G16))+AJ16,IF(V16="Remote",F16,IF(V16="Local",F16+H16+J16+K16*Supuestos!$D$13+IF(Y16="No",0,IF(AM16&gt;0,AM16,G16))+AJ16,IF(V16="On rotation",F16+IF(AM16&gt;0,AM16,G16)+H16+I16+J16+K16*Supuestos!$D$14,0)))))/12*Supuestos!$D$11</f>
        <v>135000</v>
      </c>
      <c r="AB16" s="62" t="n">
        <f aca="false">AA16+Z16</f>
        <v>135000</v>
      </c>
      <c r="AC16" s="62" t="n">
        <f aca="false">U16+AB16</f>
        <v>258000</v>
      </c>
      <c r="AD16" s="59" t="n">
        <f aca="false">M16-AC16</f>
        <v>24000</v>
      </c>
      <c r="AE16" s="61" t="n">
        <f aca="false">IF(V16="Expatriado",F16+IF(AM16&gt;0,AM16,G16)+H16+I16+J16+K16*Supuestos!$D$14,IF(V16="Repatriado",F16+H16+J16+K16*Supuestos!$D$13+IF(Y16="No",0,IF(AM16&gt;0,AM16,G16))+AJ16,IF(V16="Remote",F16,IF(V16="Local",F16+H16+J16+K16*Supuestos!$D$13+IF(Y16="No",0,IF(AM16&gt;0,AM16,G16))+AJ16,IF(V16="On rotation",F16+IF(AM16&gt;0,AM16,G16)+H16+I16+J16+K16*Supuestos!$D$14,0)))))</f>
        <v>270000</v>
      </c>
      <c r="AF16" s="65" t="str">
        <f aca="false">IF(V16="Por definir","Definir paquete",IF(OR(V16="Remote",V16="On rotation"),"Completo",IF(W16="Por definir","Definir ciudad",IF(AND(OR(V16="Repatriado",V16="Local"),Y16="Por definir"),"Definir vivienda","Completo"))))</f>
        <v>Completo</v>
      </c>
      <c r="AG16" s="60" t="n">
        <f aca="false">U16/Supuestos!$D$10</f>
        <v>20500</v>
      </c>
      <c r="AH16" s="61" t="n">
        <f aca="false">AA16/Supuestos!$D$11</f>
        <v>22500</v>
      </c>
      <c r="AI16" s="59" t="n">
        <f aca="false">AH16+Z16</f>
        <v>22500</v>
      </c>
      <c r="AJ16" s="59" t="n">
        <f aca="false">0</f>
        <v>0</v>
      </c>
      <c r="AK16" s="59" t="n">
        <f aca="false">0</f>
        <v>0</v>
      </c>
      <c r="AL16" s="66" t="n">
        <f aca="false">0</f>
        <v>0</v>
      </c>
      <c r="AM16" s="54" t="n">
        <v>12000</v>
      </c>
    </row>
    <row r="17" customFormat="false" ht="27.75" hidden="false" customHeight="true" outlineLevel="0" collapsed="false">
      <c r="C17" s="54" t="n">
        <v>6</v>
      </c>
      <c r="D17" s="55" t="s">
        <v>183</v>
      </c>
      <c r="E17" s="55" t="s">
        <v>68</v>
      </c>
      <c r="F17" s="56" t="n">
        <v>120000</v>
      </c>
      <c r="G17" s="57" t="n">
        <v>0</v>
      </c>
      <c r="H17" s="57" t="n">
        <v>0</v>
      </c>
      <c r="I17" s="57" t="n">
        <v>0</v>
      </c>
      <c r="J17" s="57" t="n">
        <v>0</v>
      </c>
      <c r="K17" s="57" t="n">
        <v>0</v>
      </c>
      <c r="L17" s="58" t="n">
        <f aca="false">SUM(F17:K17)</f>
        <v>120000</v>
      </c>
      <c r="M17" s="57" t="n">
        <v>194000</v>
      </c>
      <c r="N17" s="59" t="n">
        <f aca="false">L17-M17</f>
        <v>-74000</v>
      </c>
      <c r="O17" s="60" t="n">
        <f aca="false">F17/12*Supuestos!$D$10</f>
        <v>60000</v>
      </c>
      <c r="P17" s="61" t="n">
        <f aca="false">G17/12*Supuestos!$D$10</f>
        <v>0</v>
      </c>
      <c r="Q17" s="61" t="n">
        <f aca="false">H17/12*Supuestos!$D$10</f>
        <v>0</v>
      </c>
      <c r="R17" s="61" t="n">
        <f aca="false">I17/12*Supuestos!$D$10</f>
        <v>0</v>
      </c>
      <c r="S17" s="61" t="n">
        <f aca="false">J17/12*Supuestos!$D$10</f>
        <v>0</v>
      </c>
      <c r="T17" s="61" t="n">
        <f aca="false">K17/12*Supuestos!$D$10*Supuestos!$D$12</f>
        <v>0</v>
      </c>
      <c r="U17" s="62" t="n">
        <f aca="false">SUM(O17:T17)</f>
        <v>60000</v>
      </c>
      <c r="V17" s="63" t="s">
        <v>184</v>
      </c>
      <c r="W17" s="63" t="s">
        <v>185</v>
      </c>
      <c r="X17" s="63" t="s">
        <v>96</v>
      </c>
      <c r="Y17" s="64" t="str">
        <f aca="false">IF(X17="Automático",IF(W17="Caracas","Sí",IF(W17="Maracaibo","No",IF(W17="Otro","Sí","Por definir"))),X17)</f>
        <v>No</v>
      </c>
      <c r="Z17" s="56" t="n">
        <v>0</v>
      </c>
      <c r="AA17" s="60" t="n">
        <f aca="false">IF(V17="Expatriado",F17+IF(AM17&gt;0,AM17,G17)+H17+I17+J17+K17*Supuestos!$D$14,IF(V17="Repatriado",F17+H17+J17+K17*Supuestos!$D$13+IF(Y17="No",0,IF(AM17&gt;0,AM17,G17))+AJ17,IF(V17="Remote",F17,IF(V17="Local",F17+H17+J17+K17*Supuestos!$D$13+IF(Y17="No",0,IF(AM17&gt;0,AM17,G17))+AJ17,IF(V17="On rotation",F17+IF(AM17&gt;0,AM17,G17)+H17+I17+J17+K17*Supuestos!$D$14,0)))))/12*Supuestos!$D$11</f>
        <v>60000</v>
      </c>
      <c r="AB17" s="62" t="n">
        <f aca="false">AA17+Z17</f>
        <v>60000</v>
      </c>
      <c r="AC17" s="62" t="n">
        <f aca="false">U17+AB17</f>
        <v>120000</v>
      </c>
      <c r="AD17" s="59" t="n">
        <f aca="false">M17-AC17</f>
        <v>74000</v>
      </c>
      <c r="AE17" s="61" t="n">
        <f aca="false">IF(V17="Expatriado",F17+IF(AM17&gt;0,AM17,G17)+H17+I17+J17+K17*Supuestos!$D$14,IF(V17="Repatriado",F17+H17+J17+K17*Supuestos!$D$13+IF(Y17="No",0,IF(AM17&gt;0,AM17,G17))+AJ17,IF(V17="Remote",F17,IF(V17="Local",F17+H17+J17+K17*Supuestos!$D$13+IF(Y17="No",0,IF(AM17&gt;0,AM17,G17))+AJ17,IF(V17="On rotation",F17+IF(AM17&gt;0,AM17,G17)+H17+I17+J17+K17*Supuestos!$D$14,0)))))</f>
        <v>120000</v>
      </c>
      <c r="AF17" s="65" t="str">
        <f aca="false">IF(V17="Por definir","Definir paquete",IF(OR(V17="Remote",V17="On rotation"),"Completo",IF(W17="Por definir","Definir ciudad",IF(AND(OR(V17="Repatriado",V17="Local"),Y17="Por definir"),"Definir vivienda","Completo"))))</f>
        <v>Completo</v>
      </c>
      <c r="AG17" s="60" t="n">
        <f aca="false">U17/Supuestos!$D$10</f>
        <v>10000</v>
      </c>
      <c r="AH17" s="61" t="n">
        <f aca="false">AA17/Supuestos!$D$11</f>
        <v>10000</v>
      </c>
      <c r="AI17" s="59" t="n">
        <f aca="false">AH17+Z17</f>
        <v>10000</v>
      </c>
      <c r="AJ17" s="59" t="n">
        <f aca="false">0</f>
        <v>0</v>
      </c>
      <c r="AK17" s="59" t="n">
        <f aca="false">0</f>
        <v>0</v>
      </c>
      <c r="AL17" s="66" t="n">
        <f aca="false">0</f>
        <v>0</v>
      </c>
      <c r="AM17" s="66" t="n">
        <f aca="false">0</f>
        <v>0</v>
      </c>
    </row>
    <row r="18" customFormat="false" ht="27.75" hidden="false" customHeight="true" outlineLevel="0" collapsed="false">
      <c r="C18" s="54" t="n">
        <v>7</v>
      </c>
      <c r="D18" s="55" t="s">
        <v>186</v>
      </c>
      <c r="E18" s="55" t="s">
        <v>70</v>
      </c>
      <c r="F18" s="56" t="n">
        <v>180000</v>
      </c>
      <c r="G18" s="57" t="n">
        <v>24000</v>
      </c>
      <c r="H18" s="57" t="n">
        <v>12000</v>
      </c>
      <c r="I18" s="57" t="n">
        <v>12000</v>
      </c>
      <c r="J18" s="57" t="n">
        <v>18000</v>
      </c>
      <c r="K18" s="57" t="n">
        <v>36000</v>
      </c>
      <c r="L18" s="58" t="n">
        <f aca="false">SUM(F18:K18)</f>
        <v>282000</v>
      </c>
      <c r="M18" s="57" t="n">
        <v>282000</v>
      </c>
      <c r="N18" s="59" t="n">
        <f aca="false">L18-M18</f>
        <v>0</v>
      </c>
      <c r="O18" s="60" t="n">
        <f aca="false">F18/12*Supuestos!$D$10</f>
        <v>90000</v>
      </c>
      <c r="P18" s="61" t="n">
        <f aca="false">G18/12*Supuestos!$D$10</f>
        <v>12000</v>
      </c>
      <c r="Q18" s="61" t="n">
        <f aca="false">H18/12*Supuestos!$D$10</f>
        <v>6000</v>
      </c>
      <c r="R18" s="61" t="n">
        <f aca="false">I18/12*Supuestos!$D$10</f>
        <v>6000</v>
      </c>
      <c r="S18" s="61" t="n">
        <f aca="false">J18/12*Supuestos!$D$10</f>
        <v>9000</v>
      </c>
      <c r="T18" s="61" t="n">
        <f aca="false">K18/12*Supuestos!$D$10*Supuestos!$D$12</f>
        <v>0</v>
      </c>
      <c r="U18" s="62" t="n">
        <f aca="false">SUM(O18:T18)</f>
        <v>123000</v>
      </c>
      <c r="V18" s="63" t="s">
        <v>187</v>
      </c>
      <c r="W18" s="63" t="s">
        <v>100</v>
      </c>
      <c r="X18" s="63" t="s">
        <v>177</v>
      </c>
      <c r="Y18" s="64" t="str">
        <f aca="false">IF(X18="Automático",IF(W18="Caracas","Sí",IF(W18="Maracaibo","No",IF(W18="Otro","Sí","Por definir"))),X18)</f>
        <v>Por definir</v>
      </c>
      <c r="Z18" s="56" t="n">
        <v>0</v>
      </c>
      <c r="AA18" s="60" t="n">
        <f aca="false">IF(V18="Expatriado",F18+IF(AM18&gt;0,AM18,G18)+H18+I18+J18+K18*Supuestos!$D$14,IF(V18="Repatriado",F18+H18+J18+K18*Supuestos!$D$13+IF(Y18="No",0,IF(AM18&gt;0,AM18,G18))+AJ18,IF(V18="Remote",F18,IF(V18="Local",F18+H18+J18+K18*Supuestos!$D$13+IF(Y18="No",0,IF(AM18&gt;0,AM18,G18))+AJ18,IF(V18="On rotation",F18+IF(AM18&gt;0,AM18,G18)+H18+I18+J18+K18*Supuestos!$D$14,0)))))/12*Supuestos!$D$11</f>
        <v>141000</v>
      </c>
      <c r="AB18" s="62" t="n">
        <f aca="false">AA18+Z18</f>
        <v>141000</v>
      </c>
      <c r="AC18" s="62" t="n">
        <f aca="false">U18+AB18</f>
        <v>264000</v>
      </c>
      <c r="AD18" s="59" t="n">
        <f aca="false">M18-AC18</f>
        <v>18000</v>
      </c>
      <c r="AE18" s="61" t="n">
        <f aca="false">IF(V18="Expatriado",F18+IF(AM18&gt;0,AM18,G18)+H18+I18+J18+K18*Supuestos!$D$14,IF(V18="Repatriado",F18+H18+J18+K18*Supuestos!$D$13+IF(Y18="No",0,IF(AM18&gt;0,AM18,G18))+AJ18,IF(V18="Remote",F18,IF(V18="Local",F18+H18+J18+K18*Supuestos!$D$13+IF(Y18="No",0,IF(AM18&gt;0,AM18,G18))+AJ18,IF(V18="On rotation",F18+IF(AM18&gt;0,AM18,G18)+H18+I18+J18+K18*Supuestos!$D$14,0)))))</f>
        <v>282000</v>
      </c>
      <c r="AF18" s="65" t="str">
        <f aca="false">IF(V18="Por definir","Definir paquete",IF(OR(V18="Remote",V18="On rotation"),"Completo",IF(W18="Por definir","Definir ciudad",IF(AND(OR(V18="Repatriado",V18="Local"),Y18="Por definir"),"Definir vivienda","Completo"))))</f>
        <v>Completo</v>
      </c>
      <c r="AG18" s="60" t="n">
        <f aca="false">U18/Supuestos!$D$10</f>
        <v>20500</v>
      </c>
      <c r="AH18" s="61" t="n">
        <f aca="false">AA18/Supuestos!$D$11</f>
        <v>23500</v>
      </c>
      <c r="AI18" s="59" t="n">
        <f aca="false">AH18+Z18</f>
        <v>23500</v>
      </c>
      <c r="AJ18" s="59" t="n">
        <f aca="false">0</f>
        <v>0</v>
      </c>
      <c r="AK18" s="59" t="n">
        <f aca="false">0</f>
        <v>0</v>
      </c>
      <c r="AL18" s="66" t="n">
        <f aca="false">0</f>
        <v>0</v>
      </c>
      <c r="AM18" s="66" t="n">
        <f aca="false">0</f>
        <v>0</v>
      </c>
    </row>
    <row r="19" customFormat="false" ht="27.75" hidden="false" customHeight="true" outlineLevel="0" collapsed="false">
      <c r="C19" s="54" t="n">
        <v>8</v>
      </c>
      <c r="D19" s="55" t="s">
        <v>188</v>
      </c>
      <c r="E19" s="55" t="s">
        <v>72</v>
      </c>
      <c r="F19" s="56" t="n">
        <v>48000</v>
      </c>
      <c r="G19" s="57" t="n">
        <v>12000</v>
      </c>
      <c r="H19" s="57" t="n">
        <v>8000</v>
      </c>
      <c r="I19" s="57" t="n">
        <v>0</v>
      </c>
      <c r="J19" s="57" t="n">
        <v>7200</v>
      </c>
      <c r="K19" s="57" t="n">
        <v>12000</v>
      </c>
      <c r="L19" s="58" t="n">
        <f aca="false">SUM(F19:K19)</f>
        <v>87200</v>
      </c>
      <c r="M19" s="57" t="n">
        <v>87200</v>
      </c>
      <c r="N19" s="59" t="n">
        <f aca="false">L19-M19</f>
        <v>0</v>
      </c>
      <c r="O19" s="60" t="n">
        <f aca="false">F19/12*Supuestos!$D$10</f>
        <v>24000</v>
      </c>
      <c r="P19" s="61" t="n">
        <f aca="false">G19/12*Supuestos!$D$10</f>
        <v>6000</v>
      </c>
      <c r="Q19" s="61" t="n">
        <f aca="false">H19/12*Supuestos!$D$10</f>
        <v>4000</v>
      </c>
      <c r="R19" s="61" t="n">
        <f aca="false">I19/12*Supuestos!$D$10</f>
        <v>0</v>
      </c>
      <c r="S19" s="61" t="n">
        <f aca="false">J19/12*Supuestos!$D$10</f>
        <v>3600</v>
      </c>
      <c r="T19" s="61" t="n">
        <f aca="false">K19/12*Supuestos!$D$10*Supuestos!$D$12</f>
        <v>0</v>
      </c>
      <c r="U19" s="62" t="n">
        <f aca="false">SUM(O19:T19)</f>
        <v>37600</v>
      </c>
      <c r="V19" s="63" t="s">
        <v>189</v>
      </c>
      <c r="W19" s="63" t="s">
        <v>95</v>
      </c>
      <c r="X19" s="63" t="s">
        <v>93</v>
      </c>
      <c r="Y19" s="64" t="str">
        <f aca="false">IF(X19="Automático",IF(W19="Caracas","Sí",IF(W19="Maracaibo","No",IF(W19="Otro","Sí","Por definir"))),X19)</f>
        <v>Sí</v>
      </c>
      <c r="Z19" s="56" t="n">
        <v>0</v>
      </c>
      <c r="AA19" s="60" t="n">
        <f aca="false">IF(V19="Expatriado",F19+IF(AM19&gt;0,AM19,G19)+H19+I19+J19+K19*Supuestos!$D$14,IF(V19="Repatriado",F19+H19+J19+K19*Supuestos!$D$13+IF(Y19="No",0,IF(AM19&gt;0,AM19,G19))+AJ19,IF(V19="Remote",F19,IF(V19="Local",F19+H19+J19+K19*Supuestos!$D$13+IF(Y19="No",0,IF(AM19&gt;0,AM19,G19))+AJ19,IF(V19="On rotation",F19+IF(AM19&gt;0,AM19,G19)+H19+I19+J19+K19*Supuestos!$D$14,0)))))/12*Supuestos!$D$11</f>
        <v>37600</v>
      </c>
      <c r="AB19" s="62" t="n">
        <f aca="false">AA19+Z19</f>
        <v>37600</v>
      </c>
      <c r="AC19" s="62" t="n">
        <f aca="false">U19+AB19</f>
        <v>75200</v>
      </c>
      <c r="AD19" s="59" t="n">
        <f aca="false">M19-AC19</f>
        <v>12000</v>
      </c>
      <c r="AE19" s="61" t="n">
        <f aca="false">IF(V19="Expatriado",F19+IF(AM19&gt;0,AM19,G19)+H19+I19+J19+K19*Supuestos!$D$14,IF(V19="Repatriado",F19+H19+J19+K19*Supuestos!$D$13+IF(Y19="No",0,IF(AM19&gt;0,AM19,G19))+AJ19,IF(V19="Remote",F19,IF(V19="Local",F19+H19+J19+K19*Supuestos!$D$13+IF(Y19="No",0,IF(AM19&gt;0,AM19,G19))+AJ19,IF(V19="On rotation",F19+IF(AM19&gt;0,AM19,G19)+H19+I19+J19+K19*Supuestos!$D$14,0)))))</f>
        <v>75200</v>
      </c>
      <c r="AF19" s="65" t="str">
        <f aca="false">IF(V19="Por definir","Definir paquete",IF(OR(V19="Remote",V19="On rotation"),"Completo",IF(W19="Por definir","Definir ciudad",IF(AND(OR(V19="Repatriado",V19="Local"),Y19="Por definir"),"Definir vivienda","Completo"))))</f>
        <v>Completo</v>
      </c>
      <c r="AG19" s="60" t="n">
        <f aca="false">U19/Supuestos!$D$10</f>
        <v>6266.66666666667</v>
      </c>
      <c r="AH19" s="61" t="n">
        <f aca="false">AA19/Supuestos!$D$11</f>
        <v>6266.66666666667</v>
      </c>
      <c r="AI19" s="59" t="n">
        <f aca="false">AH19+Z19</f>
        <v>6266.66666666667</v>
      </c>
      <c r="AJ19" s="59" t="n">
        <f aca="false">0</f>
        <v>0</v>
      </c>
      <c r="AK19" s="59" t="n">
        <f aca="false">0</f>
        <v>0</v>
      </c>
      <c r="AL19" s="66" t="n">
        <f aca="false">0</f>
        <v>0</v>
      </c>
      <c r="AM19" s="66" t="n">
        <f aca="false">0</f>
        <v>0</v>
      </c>
    </row>
    <row r="20" customFormat="false" ht="27.75" hidden="false" customHeight="true" outlineLevel="0" collapsed="false">
      <c r="C20" s="54" t="n">
        <v>9</v>
      </c>
      <c r="D20" s="55" t="s">
        <v>190</v>
      </c>
      <c r="E20" s="55" t="s">
        <v>74</v>
      </c>
      <c r="F20" s="56" t="n">
        <v>48000</v>
      </c>
      <c r="G20" s="57" t="n">
        <v>12000</v>
      </c>
      <c r="H20" s="57" t="n">
        <v>8000</v>
      </c>
      <c r="I20" s="57" t="n">
        <v>12000</v>
      </c>
      <c r="J20" s="57" t="n">
        <v>7200</v>
      </c>
      <c r="K20" s="57" t="n">
        <v>8000</v>
      </c>
      <c r="L20" s="58" t="n">
        <f aca="false">SUM(F20:K20)</f>
        <v>95200</v>
      </c>
      <c r="M20" s="57" t="n">
        <v>95200</v>
      </c>
      <c r="N20" s="59" t="n">
        <f aca="false">L20-M20</f>
        <v>0</v>
      </c>
      <c r="O20" s="60" t="n">
        <f aca="false">F20/12*Supuestos!$D$10</f>
        <v>24000</v>
      </c>
      <c r="P20" s="61" t="n">
        <f aca="false">G20/12*Supuestos!$D$10</f>
        <v>6000</v>
      </c>
      <c r="Q20" s="61" t="n">
        <f aca="false">H20/12*Supuestos!$D$10</f>
        <v>4000</v>
      </c>
      <c r="R20" s="61" t="n">
        <f aca="false">I20/12*Supuestos!$D$10</f>
        <v>6000</v>
      </c>
      <c r="S20" s="61" t="n">
        <f aca="false">J20/12*Supuestos!$D$10</f>
        <v>3600</v>
      </c>
      <c r="T20" s="61" t="n">
        <f aca="false">K20/12*Supuestos!$D$10*Supuestos!$D$12</f>
        <v>0</v>
      </c>
      <c r="U20" s="62" t="n">
        <f aca="false">SUM(O20:T20)</f>
        <v>43600</v>
      </c>
      <c r="V20" s="63" t="s">
        <v>189</v>
      </c>
      <c r="W20" s="63" t="s">
        <v>100</v>
      </c>
      <c r="X20" s="63" t="s">
        <v>177</v>
      </c>
      <c r="Y20" s="64" t="str">
        <f aca="false">IF(X20="Automático",IF(W20="Caracas","Sí",IF(W20="Maracaibo","No",IF(W20="Otro","Sí","Por definir"))),X20)</f>
        <v>Por definir</v>
      </c>
      <c r="Z20" s="56" t="n">
        <v>0</v>
      </c>
      <c r="AA20" s="60" t="n">
        <f aca="false">IF(V20="Expatriado",F20+IF(AM20&gt;0,AM20,G20)+H20+I20+J20+K20*Supuestos!$D$14,IF(V20="Repatriado",F20+H20+J20+K20*Supuestos!$D$13+IF(Y20="No",0,IF(AM20&gt;0,AM20,G20))+AJ20,IF(V20="Remote",F20,IF(V20="Local",F20+H20+J20+K20*Supuestos!$D$13+IF(Y20="No",0,IF(AM20&gt;0,AM20,G20))+AJ20,IF(V20="On rotation",F20+IF(AM20&gt;0,AM20,G20)+H20+I20+J20+K20*Supuestos!$D$14,0)))))/12*Supuestos!$D$11</f>
        <v>37600</v>
      </c>
      <c r="AB20" s="62" t="n">
        <f aca="false">AA20+Z20</f>
        <v>37600</v>
      </c>
      <c r="AC20" s="62" t="n">
        <f aca="false">U20+AB20</f>
        <v>81200</v>
      </c>
      <c r="AD20" s="59" t="n">
        <f aca="false">M20-AC20</f>
        <v>14000</v>
      </c>
      <c r="AE20" s="61" t="n">
        <f aca="false">IF(V20="Expatriado",F20+IF(AM20&gt;0,AM20,G20)+H20+I20+J20+K20*Supuestos!$D$14,IF(V20="Repatriado",F20+H20+J20+K20*Supuestos!$D$13+IF(Y20="No",0,IF(AM20&gt;0,AM20,G20))+AJ20,IF(V20="Remote",F20,IF(V20="Local",F20+H20+J20+K20*Supuestos!$D$13+IF(Y20="No",0,IF(AM20&gt;0,AM20,G20))+AJ20,IF(V20="On rotation",F20+IF(AM20&gt;0,AM20,G20)+H20+I20+J20+K20*Supuestos!$D$14,0)))))</f>
        <v>75200</v>
      </c>
      <c r="AF20" s="65" t="str">
        <f aca="false">IF(V20="Por definir","Definir paquete",IF(OR(V20="Remote",V20="On rotation"),"Completo",IF(W20="Por definir","Definir ciudad",IF(AND(OR(V20="Repatriado",V20="Local"),Y20="Por definir"),"Definir vivienda","Completo"))))</f>
        <v>Definir ciudad</v>
      </c>
      <c r="AG20" s="60" t="n">
        <f aca="false">U20/Supuestos!$D$10</f>
        <v>7266.66666666667</v>
      </c>
      <c r="AH20" s="61" t="n">
        <f aca="false">AA20/Supuestos!$D$11</f>
        <v>6266.66666666667</v>
      </c>
      <c r="AI20" s="59" t="n">
        <f aca="false">AH20+Z20</f>
        <v>6266.66666666667</v>
      </c>
      <c r="AJ20" s="59" t="n">
        <f aca="false">0</f>
        <v>0</v>
      </c>
      <c r="AK20" s="59" t="n">
        <f aca="false">0</f>
        <v>0</v>
      </c>
      <c r="AL20" s="66" t="n">
        <f aca="false">0</f>
        <v>0</v>
      </c>
      <c r="AM20" s="66" t="n">
        <f aca="false">0</f>
        <v>0</v>
      </c>
    </row>
    <row r="21" customFormat="false" ht="15" hidden="false" customHeight="true" outlineLevel="0" collapsed="false"/>
    <row r="22" customFormat="false" ht="24" hidden="false" customHeight="true" outlineLevel="0" collapsed="false">
      <c r="C22" s="67"/>
      <c r="D22" s="68" t="s">
        <v>76</v>
      </c>
      <c r="E22" s="68"/>
      <c r="F22" s="69" t="n">
        <f aca="false">SUM(F12:F20)</f>
        <v>1548000</v>
      </c>
      <c r="G22" s="70" t="n">
        <f aca="false">SUM(G12:G20)</f>
        <v>180000</v>
      </c>
      <c r="H22" s="70" t="n">
        <f aca="false">SUM(H12:H20)</f>
        <v>88000</v>
      </c>
      <c r="I22" s="70" t="n">
        <f aca="false">SUM(I12:I20)</f>
        <v>92000</v>
      </c>
      <c r="J22" s="70" t="n">
        <f aca="false">SUM(J12:J20)</f>
        <v>128400</v>
      </c>
      <c r="K22" s="70" t="n">
        <f aca="false">SUM(K12:K20)</f>
        <v>286400</v>
      </c>
      <c r="L22" s="70" t="n">
        <f aca="false">SUM(L12:L20)</f>
        <v>2322800</v>
      </c>
      <c r="M22" s="70" t="n">
        <f aca="false">SUM(M12:M20)</f>
        <v>2396800</v>
      </c>
      <c r="N22" s="70" t="n">
        <f aca="false">SUM(N12:N20)</f>
        <v>-74000</v>
      </c>
      <c r="O22" s="69" t="n">
        <f aca="false">SUM(O12:O20)</f>
        <v>774000</v>
      </c>
      <c r="P22" s="70" t="n">
        <f aca="false">SUM(P12:P20)</f>
        <v>90000</v>
      </c>
      <c r="Q22" s="70" t="n">
        <f aca="false">SUM(Q12:Q20)</f>
        <v>44000</v>
      </c>
      <c r="R22" s="70" t="n">
        <f aca="false">SUM(R12:R20)</f>
        <v>46000</v>
      </c>
      <c r="S22" s="70" t="n">
        <f aca="false">SUM(S12:S20)</f>
        <v>64200</v>
      </c>
      <c r="T22" s="70" t="n">
        <f aca="false">SUM(T12:T20)</f>
        <v>0</v>
      </c>
      <c r="U22" s="70" t="n">
        <f aca="false">SUM(U12:U20)</f>
        <v>1018200</v>
      </c>
      <c r="V22" s="67"/>
      <c r="W22" s="67"/>
      <c r="X22" s="67"/>
      <c r="Y22" s="67"/>
      <c r="Z22" s="69" t="n">
        <f aca="false">SUM(Z12:Z20)</f>
        <v>0</v>
      </c>
      <c r="AA22" s="70" t="n">
        <f aca="false">SUM(AA12:AA20)</f>
        <v>1150200</v>
      </c>
      <c r="AB22" s="70" t="n">
        <f aca="false">SUM(AB12:AB20)</f>
        <v>1150200</v>
      </c>
      <c r="AC22" s="70" t="n">
        <f aca="false">SUM(AC12:AC20)</f>
        <v>2168400</v>
      </c>
      <c r="AD22" s="70" t="n">
        <f aca="false">SUM(AD12:AD20)</f>
        <v>228400</v>
      </c>
      <c r="AE22" s="70" t="n">
        <f aca="false">SUM(AE12:AE20)</f>
        <v>2300400</v>
      </c>
      <c r="AF22" s="67"/>
      <c r="AG22" s="70" t="n">
        <f aca="false">SUM(AG12:AG20)</f>
        <v>169700</v>
      </c>
      <c r="AH22" s="70" t="n">
        <f aca="false">SUM(AH12:AH20)</f>
        <v>191700</v>
      </c>
      <c r="AI22" s="70" t="n">
        <f aca="false">SUM(AI12:AI20)</f>
        <v>191700</v>
      </c>
      <c r="AJ22" s="70" t="n">
        <f aca="false">SUM(AJ12:AJ20)</f>
        <v>204000</v>
      </c>
      <c r="AK22" s="70" t="n">
        <f aca="false">SUM(AK12:AK20)</f>
        <v>0</v>
      </c>
      <c r="AL22" s="71" t="n">
        <f aca="false">SUM(AL12:AL20)</f>
        <v>39</v>
      </c>
      <c r="AM22" s="71" t="n">
        <f aca="false">SUM(AM12:AM20)</f>
        <v>12000</v>
      </c>
    </row>
  </sheetData>
  <autoFilter ref="C11:AI20"/>
  <mergeCells count="3">
    <mergeCell ref="C4:AI4"/>
    <mergeCell ref="C9:AI9"/>
    <mergeCell ref="D22:E22"/>
  </mergeCells>
  <conditionalFormatting sqref="AF12:AF20">
    <cfRule type="expression" priority="2" aboveAverage="0" equalAverage="0" bottom="0" percent="0" rank="0" text="" dxfId="7">
      <formula>AF12&lt;&gt;"Completo"</formula>
    </cfRule>
  </conditionalFormatting>
  <dataValidations count="3">
    <dataValidation allowBlank="false" errorStyle="stop" operator="between" showDropDown="false" showErrorMessage="false" showInputMessage="false" sqref="X12:X20" type="list">
      <formula1>"Automático,Sí,No"</formula1>
      <formula2>0</formula2>
    </dataValidation>
    <dataValidation allowBlank="false" errorStyle="stop" operator="between" showDropDown="false" showErrorMessage="false" showInputMessage="false" sqref="V12:V20" type="list">
      <mc:AlternateContent xmlns:x12ac="http://schemas.microsoft.com/office/spreadsheetml/2011/1/ac" xmlns:mc="http://schemas.openxmlformats.org/markup-compatibility/2006">
        <mc:Choice Requires="x12ac">
          <x12ac:list>"Expatriado,Repatriado,Remote,On rotation,Local,Por definir"</x12ac:list>
        </mc:Choice>
        <mc:Fallback>
          <formula1>"Expatriado,Repatriado,Remote,On rotation,Local,Por definir"</formula1>
        </mc:Fallback>
      </mc:AlternateContent>
      <formula2>0</formula2>
    </dataValidation>
    <dataValidation allowBlank="false" errorStyle="stop" operator="between" showDropDown="false" showErrorMessage="false" showInputMessage="false" sqref="W12:W20" type="list">
      <mc:AlternateContent xmlns:x12ac="http://schemas.microsoft.com/office/spreadsheetml/2011/1/ac" xmlns:mc="http://schemas.openxmlformats.org/markup-compatibility/2006">
        <mc:Choice Requires="x12ac">
          <x12ac:list>"Caracas,Maracaibo,Otro,Remoto,Por definir"</x12ac:list>
        </mc:Choice>
        <mc:Fallback>
          <formula1>"Caracas,Maracaibo,Otro,Remoto,Por definir"</formula1>
        </mc:Fallback>
      </mc:AlternateContent>
      <formula2>0</formula2>
    </dataValidation>
  </dataValidations>
  <printOptions headings="true" gridLines="false" gridLinesSet="true" horizontalCentered="false" verticalCentered="false"/>
  <pageMargins left="0.75" right="0.75" top="1" bottom="0.958333333333333" header="0.511811023622047" footer="0.5"/>
  <pageSetup paperSize="1"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&amp;C&amp;8 &amp;K666666Personal | Página &amp;P de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11" activePane="bottomRight" state="frozen"/>
      <selection pane="topLeft" activeCell="A1" activeCellId="0" sqref="A1"/>
      <selection pane="topRight" activeCell="G1" activeCellId="0" sqref="G1"/>
      <selection pane="bottomLeft" activeCell="A11" activeCellId="0" sqref="A11"/>
      <selection pane="bottomRight" activeCell="A1" activeCellId="0" sqref="A1"/>
    </sheetView>
  </sheetViews>
  <sheetFormatPr defaultColWidth="8.57421875" defaultRowHeight="15" zeroHeight="false" outlineLevelRow="0" outlineLevelCol="0"/>
  <cols>
    <col collapsed="false" customWidth="true" hidden="false" outlineLevel="0" max="2" min="1" style="1" width="20"/>
    <col collapsed="false" customWidth="true" hidden="false" outlineLevel="0" max="3" min="3" style="1" width="24"/>
    <col collapsed="false" customWidth="true" hidden="false" outlineLevel="0" max="4" min="4" style="1" width="34"/>
    <col collapsed="false" customWidth="true" hidden="false" outlineLevel="0" max="5" min="5" style="1" width="13"/>
    <col collapsed="false" customWidth="true" hidden="false" outlineLevel="0" max="16" min="6" style="1" width="11"/>
    <col collapsed="false" customWidth="true" hidden="false" outlineLevel="0" max="17" min="17" style="1" width="26"/>
    <col collapsed="false" customWidth="true" hidden="false" outlineLevel="0" max="19" min="18" style="1" width="11"/>
    <col collapsed="false" customWidth="true" hidden="false" outlineLevel="0" max="20" min="20" style="1" width="30"/>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row>
    <row r="4" customFormat="false" ht="24.75" hidden="false" customHeight="true" outlineLevel="0" collapsed="false">
      <c r="C4" s="3" t="s">
        <v>191</v>
      </c>
      <c r="D4" s="3"/>
      <c r="E4" s="3"/>
      <c r="F4" s="3"/>
      <c r="G4" s="3"/>
      <c r="H4" s="3"/>
      <c r="I4" s="3"/>
      <c r="J4" s="3"/>
      <c r="K4" s="3"/>
      <c r="L4" s="3"/>
      <c r="M4" s="3"/>
      <c r="N4" s="3"/>
      <c r="O4" s="3"/>
      <c r="P4" s="3"/>
      <c r="Q4" s="3"/>
      <c r="R4" s="3"/>
      <c r="S4" s="3"/>
      <c r="T4" s="3"/>
    </row>
    <row r="6" customFormat="false" ht="15" hidden="false" customHeight="true" outlineLevel="0" collapsed="false">
      <c r="C6" s="4" t="s">
        <v>192</v>
      </c>
    </row>
    <row r="7" customFormat="false" ht="15" hidden="false" customHeight="true" outlineLevel="0" collapsed="false">
      <c r="C7" s="5" t="s">
        <v>193</v>
      </c>
    </row>
    <row r="9" customFormat="false" ht="19.5" hidden="false" customHeight="true" outlineLevel="0" collapsed="false">
      <c r="C9" s="6" t="s">
        <v>194</v>
      </c>
      <c r="D9" s="6"/>
      <c r="E9" s="6"/>
      <c r="F9" s="6"/>
      <c r="G9" s="6"/>
      <c r="H9" s="6"/>
      <c r="I9" s="6"/>
      <c r="J9" s="6"/>
      <c r="K9" s="6"/>
      <c r="L9" s="6"/>
      <c r="M9" s="6"/>
      <c r="N9" s="6"/>
      <c r="O9" s="6"/>
      <c r="P9" s="6"/>
      <c r="Q9" s="6"/>
      <c r="R9" s="6"/>
      <c r="S9" s="6"/>
      <c r="T9" s="6"/>
    </row>
    <row r="11" customFormat="false" ht="33.75" hidden="false" customHeight="true" outlineLevel="0" collapsed="false">
      <c r="C11" s="7" t="s">
        <v>41</v>
      </c>
      <c r="D11" s="7" t="s">
        <v>42</v>
      </c>
      <c r="E11" s="7" t="s">
        <v>43</v>
      </c>
      <c r="F11" s="7" t="s">
        <v>44</v>
      </c>
      <c r="G11" s="7" t="s">
        <v>195</v>
      </c>
      <c r="H11" s="7" t="s">
        <v>196</v>
      </c>
      <c r="I11" s="7" t="s">
        <v>197</v>
      </c>
      <c r="J11" s="7" t="s">
        <v>198</v>
      </c>
      <c r="K11" s="7" t="s">
        <v>199</v>
      </c>
      <c r="L11" s="7" t="s">
        <v>200</v>
      </c>
      <c r="M11" s="7" t="s">
        <v>201</v>
      </c>
      <c r="N11" s="7" t="s">
        <v>202</v>
      </c>
      <c r="O11" s="7" t="s">
        <v>203</v>
      </c>
      <c r="P11" s="7" t="s">
        <v>204</v>
      </c>
      <c r="Q11" s="7" t="s">
        <v>205</v>
      </c>
      <c r="R11" s="7" t="s">
        <v>206</v>
      </c>
      <c r="S11" s="7" t="s">
        <v>47</v>
      </c>
      <c r="T11" s="7" t="s">
        <v>207</v>
      </c>
    </row>
    <row r="12" customFormat="false" ht="30" hidden="false" customHeight="true" outlineLevel="0" collapsed="false">
      <c r="C12" s="30" t="str">
        <f aca="false">Personal!E12</f>
        <v>Martin del Castillo</v>
      </c>
      <c r="D12" s="30" t="str">
        <f aca="false">Personal!D12</f>
        <v>COO / PU General Manager</v>
      </c>
      <c r="E12" s="30" t="str">
        <f aca="false">Personal!V12</f>
        <v>Expatriado</v>
      </c>
      <c r="F12" s="30" t="str">
        <f aca="false">Personal!W12</f>
        <v>Por definir</v>
      </c>
      <c r="G12" s="31" t="n">
        <f aca="false">Personal!U12/Supuestos!$D$10</f>
        <v>37666.6666666667</v>
      </c>
      <c r="H12" s="32" t="n">
        <f aca="false">Personal!U12/Supuestos!$D$10</f>
        <v>37666.6666666667</v>
      </c>
      <c r="I12" s="32" t="n">
        <f aca="false">Personal!U12/Supuestos!$D$10</f>
        <v>37666.6666666667</v>
      </c>
      <c r="J12" s="32" t="n">
        <f aca="false">Personal!U12/Supuestos!$D$10</f>
        <v>37666.6666666667</v>
      </c>
      <c r="K12" s="32" t="n">
        <f aca="false">Personal!U12/Supuestos!$D$10</f>
        <v>37666.6666666667</v>
      </c>
      <c r="L12" s="32" t="n">
        <f aca="false">Personal!U12/Supuestos!$D$10</f>
        <v>37666.6666666667</v>
      </c>
      <c r="M12" s="32" t="n">
        <f aca="false">Personal!AA12/Supuestos!$D$11+Personal!Z12</f>
        <v>43666.6666666667</v>
      </c>
      <c r="N12" s="32" t="n">
        <f aca="false">Personal!AA12/Supuestos!$D$11</f>
        <v>43666.6666666667</v>
      </c>
      <c r="O12" s="32" t="n">
        <f aca="false">Personal!AA12/Supuestos!$D$11</f>
        <v>43666.6666666667</v>
      </c>
      <c r="P12" s="32" t="n">
        <f aca="false">Personal!AA12/Supuestos!$D$11</f>
        <v>43666.6666666667</v>
      </c>
      <c r="Q12" s="32" t="n">
        <f aca="false">Personal!AA12/Supuestos!$D$11</f>
        <v>43666.6666666667</v>
      </c>
      <c r="R12" s="32" t="n">
        <f aca="false">Personal!AA12/Supuestos!$D$11</f>
        <v>43666.6666666667</v>
      </c>
      <c r="S12" s="72" t="n">
        <f aca="false">SUM(G12:R12)</f>
        <v>488000</v>
      </c>
      <c r="T12" s="47" t="str">
        <f aca="false">IF(OR(E12="Expatriado",E12="On rotation"),"Empresa cubre / neutraliza impuesto del país de trabajo",IF(OR(E12="Repatriado",E12="Local"),"Empleado asume impuesto personal",IF(E12="Remote","Remote — sin beneficios","Definir paquete")))</f>
        <v>Empresa cubre / neutraliza impuesto del país de trabajo</v>
      </c>
    </row>
    <row r="13" customFormat="false" ht="30" hidden="false" customHeight="true" outlineLevel="0" collapsed="false">
      <c r="C13" s="33" t="str">
        <f aca="false">Personal!E13</f>
        <v>Juan Conde</v>
      </c>
      <c r="D13" s="33" t="str">
        <f aca="false">Personal!D13</f>
        <v>EPCM &amp; Engineering Manager</v>
      </c>
      <c r="E13" s="33" t="str">
        <f aca="false">Personal!V13</f>
        <v>Repatriado</v>
      </c>
      <c r="F13" s="33" t="str">
        <f aca="false">Personal!W13</f>
        <v>Maracaibo</v>
      </c>
      <c r="G13" s="12" t="n">
        <f aca="false">Personal!U13/Supuestos!$D$10</f>
        <v>23500</v>
      </c>
      <c r="H13" s="24" t="n">
        <f aca="false">Personal!U13/Supuestos!$D$10</f>
        <v>23500</v>
      </c>
      <c r="I13" s="24" t="n">
        <f aca="false">Personal!U13/Supuestos!$D$10</f>
        <v>23500</v>
      </c>
      <c r="J13" s="24" t="n">
        <f aca="false">Personal!U13/Supuestos!$D$10</f>
        <v>23500</v>
      </c>
      <c r="K13" s="24" t="n">
        <f aca="false">Personal!U13/Supuestos!$D$10</f>
        <v>23500</v>
      </c>
      <c r="L13" s="24" t="n">
        <f aca="false">Personal!U13/Supuestos!$D$10</f>
        <v>23500</v>
      </c>
      <c r="M13" s="24" t="n">
        <f aca="false">Personal!AA13/Supuestos!$D$11+Personal!Z13</f>
        <v>28500</v>
      </c>
      <c r="N13" s="24" t="n">
        <f aca="false">Personal!AA13/Supuestos!$D$11</f>
        <v>28500</v>
      </c>
      <c r="O13" s="24" t="n">
        <f aca="false">Personal!AA13/Supuestos!$D$11</f>
        <v>28500</v>
      </c>
      <c r="P13" s="24" t="n">
        <f aca="false">Personal!AA13/Supuestos!$D$11</f>
        <v>28500</v>
      </c>
      <c r="Q13" s="24" t="n">
        <f aca="false">Personal!AA13/Supuestos!$D$11</f>
        <v>28500</v>
      </c>
      <c r="R13" s="24" t="n">
        <f aca="false">Personal!AA13/Supuestos!$D$11</f>
        <v>28500</v>
      </c>
      <c r="S13" s="73" t="n">
        <f aca="false">SUM(G13:R13)</f>
        <v>312000</v>
      </c>
      <c r="T13" s="49" t="str">
        <f aca="false">IF(OR(E13="Expatriado",E13="On rotation"),"Empresa cubre / neutraliza impuesto del país de trabajo",IF(OR(E13="Repatriado",E13="Local"),"Empleado asume impuesto personal",IF(E13="Remote","Remote — sin beneficios","Definir paquete")))</f>
        <v>Empleado asume impuesto personal</v>
      </c>
    </row>
    <row r="14" customFormat="false" ht="30" hidden="false" customHeight="true" outlineLevel="0" collapsed="false">
      <c r="C14" s="33" t="str">
        <f aca="false">Personal!E14</f>
        <v>Alexander Stulme</v>
      </c>
      <c r="D14" s="33" t="str">
        <f aca="false">Personal!D14</f>
        <v>Drilling &amp; Well Services Manager</v>
      </c>
      <c r="E14" s="33" t="str">
        <f aca="false">Personal!V14</f>
        <v>Repatriado</v>
      </c>
      <c r="F14" s="33" t="str">
        <f aca="false">Personal!W14</f>
        <v>Maracaibo</v>
      </c>
      <c r="G14" s="12" t="n">
        <f aca="false">Personal!U14/Supuestos!$D$10</f>
        <v>20500</v>
      </c>
      <c r="H14" s="24" t="n">
        <f aca="false">Personal!U14/Supuestos!$D$10</f>
        <v>20500</v>
      </c>
      <c r="I14" s="24" t="n">
        <f aca="false">Personal!U14/Supuestos!$D$10</f>
        <v>20500</v>
      </c>
      <c r="J14" s="24" t="n">
        <f aca="false">Personal!U14/Supuestos!$D$10</f>
        <v>20500</v>
      </c>
      <c r="K14" s="24" t="n">
        <f aca="false">Personal!U14/Supuestos!$D$10</f>
        <v>20500</v>
      </c>
      <c r="L14" s="24" t="n">
        <f aca="false">Personal!U14/Supuestos!$D$10</f>
        <v>20500</v>
      </c>
      <c r="M14" s="24" t="n">
        <f aca="false">Personal!AA14/Supuestos!$D$11+Personal!Z14</f>
        <v>22500</v>
      </c>
      <c r="N14" s="24" t="n">
        <f aca="false">Personal!AA14/Supuestos!$D$11</f>
        <v>22500</v>
      </c>
      <c r="O14" s="24" t="n">
        <f aca="false">Personal!AA14/Supuestos!$D$11</f>
        <v>22500</v>
      </c>
      <c r="P14" s="24" t="n">
        <f aca="false">Personal!AA14/Supuestos!$D$11</f>
        <v>22500</v>
      </c>
      <c r="Q14" s="24" t="n">
        <f aca="false">Personal!AA14/Supuestos!$D$11</f>
        <v>22500</v>
      </c>
      <c r="R14" s="24" t="n">
        <f aca="false">Personal!AA14/Supuestos!$D$11</f>
        <v>22500</v>
      </c>
      <c r="S14" s="73" t="n">
        <f aca="false">SUM(G14:R14)</f>
        <v>258000</v>
      </c>
      <c r="T14" s="49" t="str">
        <f aca="false">IF(OR(E14="Expatriado",E14="On rotation"),"Empresa cubre / neutraliza impuesto del país de trabajo",IF(OR(E14="Repatriado",E14="Local"),"Empleado asume impuesto personal",IF(E14="Remote","Remote — sin beneficios","Definir paquete")))</f>
        <v>Empleado asume impuesto personal</v>
      </c>
    </row>
    <row r="15" customFormat="false" ht="30" hidden="false" customHeight="true" outlineLevel="0" collapsed="false">
      <c r="C15" s="33" t="str">
        <f aca="false">Personal!E15</f>
        <v>Félix Valderrama</v>
      </c>
      <c r="D15" s="33" t="str">
        <f aca="false">Personal!D15</f>
        <v>Operations &amp; Maintenance Manager</v>
      </c>
      <c r="E15" s="33" t="str">
        <f aca="false">Personal!V15</f>
        <v>Repatriado</v>
      </c>
      <c r="F15" s="33" t="str">
        <f aca="false">Personal!W15</f>
        <v>Maracaibo</v>
      </c>
      <c r="G15" s="12" t="n">
        <f aca="false">Personal!U15/Supuestos!$D$10</f>
        <v>23500</v>
      </c>
      <c r="H15" s="24" t="n">
        <f aca="false">Personal!U15/Supuestos!$D$10</f>
        <v>23500</v>
      </c>
      <c r="I15" s="24" t="n">
        <f aca="false">Personal!U15/Supuestos!$D$10</f>
        <v>23500</v>
      </c>
      <c r="J15" s="24" t="n">
        <f aca="false">Personal!U15/Supuestos!$D$10</f>
        <v>23500</v>
      </c>
      <c r="K15" s="24" t="n">
        <f aca="false">Personal!U15/Supuestos!$D$10</f>
        <v>23500</v>
      </c>
      <c r="L15" s="24" t="n">
        <f aca="false">Personal!U15/Supuestos!$D$10</f>
        <v>23500</v>
      </c>
      <c r="M15" s="24" t="n">
        <f aca="false">Personal!AA15/Supuestos!$D$11+Personal!Z15</f>
        <v>28500</v>
      </c>
      <c r="N15" s="24" t="n">
        <f aca="false">Personal!AA15/Supuestos!$D$11</f>
        <v>28500</v>
      </c>
      <c r="O15" s="24" t="n">
        <f aca="false">Personal!AA15/Supuestos!$D$11</f>
        <v>28500</v>
      </c>
      <c r="P15" s="24" t="n">
        <f aca="false">Personal!AA15/Supuestos!$D$11</f>
        <v>28500</v>
      </c>
      <c r="Q15" s="24" t="n">
        <f aca="false">Personal!AA15/Supuestos!$D$11</f>
        <v>28500</v>
      </c>
      <c r="R15" s="24" t="n">
        <f aca="false">Personal!AA15/Supuestos!$D$11</f>
        <v>28500</v>
      </c>
      <c r="S15" s="73" t="n">
        <f aca="false">SUM(G15:R15)</f>
        <v>312000</v>
      </c>
      <c r="T15" s="49" t="str">
        <f aca="false">IF(OR(E15="Expatriado",E15="On rotation"),"Empresa cubre / neutraliza impuesto del país de trabajo",IF(OR(E15="Repatriado",E15="Local"),"Empleado asume impuesto personal",IF(E15="Remote","Remote — sin beneficios","Definir paquete")))</f>
        <v>Empleado asume impuesto personal</v>
      </c>
    </row>
    <row r="16" customFormat="false" ht="30" hidden="false" customHeight="true" outlineLevel="0" collapsed="false">
      <c r="C16" s="33" t="str">
        <f aca="false">Personal!E16</f>
        <v>Alan McKeon</v>
      </c>
      <c r="D16" s="33" t="str">
        <f aca="false">Personal!D16</f>
        <v>Technical Manager (Geosciences)</v>
      </c>
      <c r="E16" s="33" t="str">
        <f aca="false">Personal!V16</f>
        <v>Expatriado</v>
      </c>
      <c r="F16" s="33" t="str">
        <f aca="false">Personal!W16</f>
        <v>Maracaibo</v>
      </c>
      <c r="G16" s="12" t="n">
        <f aca="false">Personal!U16/Supuestos!$D$10</f>
        <v>20500</v>
      </c>
      <c r="H16" s="24" t="n">
        <f aca="false">Personal!U16/Supuestos!$D$10</f>
        <v>20500</v>
      </c>
      <c r="I16" s="24" t="n">
        <f aca="false">Personal!U16/Supuestos!$D$10</f>
        <v>20500</v>
      </c>
      <c r="J16" s="24" t="n">
        <f aca="false">Personal!U16/Supuestos!$D$10</f>
        <v>20500</v>
      </c>
      <c r="K16" s="24" t="n">
        <f aca="false">Personal!U16/Supuestos!$D$10</f>
        <v>20500</v>
      </c>
      <c r="L16" s="24" t="n">
        <f aca="false">Personal!U16/Supuestos!$D$10</f>
        <v>20500</v>
      </c>
      <c r="M16" s="24" t="n">
        <f aca="false">Personal!AA16/Supuestos!$D$11+Personal!Z16</f>
        <v>22500</v>
      </c>
      <c r="N16" s="24" t="n">
        <f aca="false">Personal!AA16/Supuestos!$D$11</f>
        <v>22500</v>
      </c>
      <c r="O16" s="24" t="n">
        <f aca="false">Personal!AA16/Supuestos!$D$11</f>
        <v>22500</v>
      </c>
      <c r="P16" s="24" t="n">
        <f aca="false">Personal!AA16/Supuestos!$D$11</f>
        <v>22500</v>
      </c>
      <c r="Q16" s="24" t="n">
        <f aca="false">Personal!AA16/Supuestos!$D$11</f>
        <v>22500</v>
      </c>
      <c r="R16" s="24" t="n">
        <f aca="false">Personal!AA16/Supuestos!$D$11</f>
        <v>22500</v>
      </c>
      <c r="S16" s="73" t="n">
        <f aca="false">SUM(G16:R16)</f>
        <v>258000</v>
      </c>
      <c r="T16" s="49" t="str">
        <f aca="false">IF(OR(E16="Expatriado",E16="On rotation"),"Empresa cubre / neutraliza impuesto del país de trabajo",IF(OR(E16="Repatriado",E16="Local"),"Empleado asume impuesto personal",IF(E16="Remote","Remote — sin beneficios","Definir paquete")))</f>
        <v>Empresa cubre / neutraliza impuesto del país de trabajo</v>
      </c>
    </row>
    <row r="17" customFormat="false" ht="30" hidden="false" customHeight="true" outlineLevel="0" collapsed="false">
      <c r="C17" s="33" t="str">
        <f aca="false">Personal!E17</f>
        <v>JJI</v>
      </c>
      <c r="D17" s="33" t="str">
        <f aca="false">Personal!D17</f>
        <v>Reservoir Engineer</v>
      </c>
      <c r="E17" s="33" t="str">
        <f aca="false">Personal!V17</f>
        <v>Remote</v>
      </c>
      <c r="F17" s="33" t="str">
        <f aca="false">Personal!W17</f>
        <v>Remoto</v>
      </c>
      <c r="G17" s="12" t="n">
        <f aca="false">Personal!U17/Supuestos!$D$10</f>
        <v>10000</v>
      </c>
      <c r="H17" s="24" t="n">
        <f aca="false">Personal!U17/Supuestos!$D$10</f>
        <v>10000</v>
      </c>
      <c r="I17" s="24" t="n">
        <f aca="false">Personal!U17/Supuestos!$D$10</f>
        <v>10000</v>
      </c>
      <c r="J17" s="24" t="n">
        <f aca="false">Personal!U17/Supuestos!$D$10</f>
        <v>10000</v>
      </c>
      <c r="K17" s="24" t="n">
        <f aca="false">Personal!U17/Supuestos!$D$10</f>
        <v>10000</v>
      </c>
      <c r="L17" s="24" t="n">
        <f aca="false">Personal!U17/Supuestos!$D$10</f>
        <v>10000</v>
      </c>
      <c r="M17" s="24" t="n">
        <f aca="false">Personal!AA17/Supuestos!$D$11+Personal!Z17</f>
        <v>10000</v>
      </c>
      <c r="N17" s="24" t="n">
        <f aca="false">Personal!AA17/Supuestos!$D$11</f>
        <v>10000</v>
      </c>
      <c r="O17" s="24" t="n">
        <f aca="false">Personal!AA17/Supuestos!$D$11</f>
        <v>10000</v>
      </c>
      <c r="P17" s="24" t="n">
        <f aca="false">Personal!AA17/Supuestos!$D$11</f>
        <v>10000</v>
      </c>
      <c r="Q17" s="24" t="n">
        <f aca="false">Personal!AA17/Supuestos!$D$11</f>
        <v>10000</v>
      </c>
      <c r="R17" s="24" t="n">
        <f aca="false">Personal!AA17/Supuestos!$D$11</f>
        <v>10000</v>
      </c>
      <c r="S17" s="73" t="n">
        <f aca="false">SUM(G17:R17)</f>
        <v>120000</v>
      </c>
      <c r="T17" s="49" t="str">
        <f aca="false">IF(OR(E17="Expatriado",E17="On rotation"),"Empresa cubre / neutraliza impuesto del país de trabajo",IF(OR(E17="Repatriado",E17="Local"),"Empleado asume impuesto personal",IF(E17="Remote","Remote — sin beneficios","Definir paquete")))</f>
        <v>Remote — sin beneficios</v>
      </c>
    </row>
    <row r="18" customFormat="false" ht="30" hidden="false" customHeight="true" outlineLevel="0" collapsed="false">
      <c r="C18" s="33" t="str">
        <f aca="false">Personal!E18</f>
        <v>Marcelo Dantas</v>
      </c>
      <c r="D18" s="33" t="str">
        <f aca="false">Personal!D18</f>
        <v>Rig Company Man</v>
      </c>
      <c r="E18" s="33" t="str">
        <f aca="false">Personal!V18</f>
        <v>On rotation</v>
      </c>
      <c r="F18" s="33" t="str">
        <f aca="false">Personal!W18</f>
        <v>Por definir</v>
      </c>
      <c r="G18" s="12" t="n">
        <f aca="false">Personal!U18/Supuestos!$D$10</f>
        <v>20500</v>
      </c>
      <c r="H18" s="24" t="n">
        <f aca="false">Personal!U18/Supuestos!$D$10</f>
        <v>20500</v>
      </c>
      <c r="I18" s="24" t="n">
        <f aca="false">Personal!U18/Supuestos!$D$10</f>
        <v>20500</v>
      </c>
      <c r="J18" s="24" t="n">
        <f aca="false">Personal!U18/Supuestos!$D$10</f>
        <v>20500</v>
      </c>
      <c r="K18" s="24" t="n">
        <f aca="false">Personal!U18/Supuestos!$D$10</f>
        <v>20500</v>
      </c>
      <c r="L18" s="24" t="n">
        <f aca="false">Personal!U18/Supuestos!$D$10</f>
        <v>20500</v>
      </c>
      <c r="M18" s="24" t="n">
        <f aca="false">Personal!AA18/Supuestos!$D$11+Personal!Z18</f>
        <v>23500</v>
      </c>
      <c r="N18" s="24" t="n">
        <f aca="false">Personal!AA18/Supuestos!$D$11</f>
        <v>23500</v>
      </c>
      <c r="O18" s="24" t="n">
        <f aca="false">Personal!AA18/Supuestos!$D$11</f>
        <v>23500</v>
      </c>
      <c r="P18" s="24" t="n">
        <f aca="false">Personal!AA18/Supuestos!$D$11</f>
        <v>23500</v>
      </c>
      <c r="Q18" s="24" t="n">
        <f aca="false">Personal!AA18/Supuestos!$D$11</f>
        <v>23500</v>
      </c>
      <c r="R18" s="24" t="n">
        <f aca="false">Personal!AA18/Supuestos!$D$11</f>
        <v>23500</v>
      </c>
      <c r="S18" s="73" t="n">
        <f aca="false">SUM(G18:R18)</f>
        <v>264000</v>
      </c>
      <c r="T18" s="49" t="str">
        <f aca="false">IF(OR(E18="Expatriado",E18="On rotation"),"Empresa cubre / neutraliza impuesto del país de trabajo",IF(OR(E18="Repatriado",E18="Local"),"Empleado asume impuesto personal",IF(E18="Remote","Remote — sin beneficios","Definir paquete")))</f>
        <v>Empresa cubre / neutraliza impuesto del país de trabajo</v>
      </c>
    </row>
    <row r="19" customFormat="false" ht="30" hidden="false" customHeight="true" outlineLevel="0" collapsed="false">
      <c r="C19" s="33" t="str">
        <f aca="false">Personal!E19</f>
        <v>Jose Miguel</v>
      </c>
      <c r="D19" s="33" t="str">
        <f aca="false">Personal!D19</f>
        <v>Planning &amp; PMO</v>
      </c>
      <c r="E19" s="33" t="str">
        <f aca="false">Personal!V19</f>
        <v>Local</v>
      </c>
      <c r="F19" s="33" t="str">
        <f aca="false">Personal!W19</f>
        <v>Maracaibo</v>
      </c>
      <c r="G19" s="12" t="n">
        <f aca="false">Personal!U19/Supuestos!$D$10</f>
        <v>6266.66666666667</v>
      </c>
      <c r="H19" s="24" t="n">
        <f aca="false">Personal!U19/Supuestos!$D$10</f>
        <v>6266.66666666667</v>
      </c>
      <c r="I19" s="24" t="n">
        <f aca="false">Personal!U19/Supuestos!$D$10</f>
        <v>6266.66666666667</v>
      </c>
      <c r="J19" s="24" t="n">
        <f aca="false">Personal!U19/Supuestos!$D$10</f>
        <v>6266.66666666667</v>
      </c>
      <c r="K19" s="24" t="n">
        <f aca="false">Personal!U19/Supuestos!$D$10</f>
        <v>6266.66666666667</v>
      </c>
      <c r="L19" s="24" t="n">
        <f aca="false">Personal!U19/Supuestos!$D$10</f>
        <v>6266.66666666667</v>
      </c>
      <c r="M19" s="24" t="n">
        <f aca="false">Personal!AA19/Supuestos!$D$11+Personal!Z19</f>
        <v>6266.66666666667</v>
      </c>
      <c r="N19" s="24" t="n">
        <f aca="false">Personal!AA19/Supuestos!$D$11</f>
        <v>6266.66666666667</v>
      </c>
      <c r="O19" s="24" t="n">
        <f aca="false">Personal!AA19/Supuestos!$D$11</f>
        <v>6266.66666666667</v>
      </c>
      <c r="P19" s="24" t="n">
        <f aca="false">Personal!AA19/Supuestos!$D$11</f>
        <v>6266.66666666667</v>
      </c>
      <c r="Q19" s="24" t="n">
        <f aca="false">Personal!AA19/Supuestos!$D$11</f>
        <v>6266.66666666667</v>
      </c>
      <c r="R19" s="24" t="n">
        <f aca="false">Personal!AA19/Supuestos!$D$11</f>
        <v>6266.66666666667</v>
      </c>
      <c r="S19" s="73" t="n">
        <f aca="false">SUM(G19:R19)</f>
        <v>75200</v>
      </c>
      <c r="T19" s="49" t="str">
        <f aca="false">IF(OR(E19="Expatriado",E19="On rotation"),"Empresa cubre / neutraliza impuesto del país de trabajo",IF(OR(E19="Repatriado",E19="Local"),"Empleado asume impuesto personal",IF(E19="Remote","Remote — sin beneficios","Definir paquete")))</f>
        <v>Empleado asume impuesto personal</v>
      </c>
    </row>
    <row r="20" customFormat="false" ht="30" hidden="false" customHeight="true" outlineLevel="0" collapsed="false">
      <c r="C20" s="34" t="str">
        <f aca="false">Personal!E20</f>
        <v>TBD</v>
      </c>
      <c r="D20" s="34" t="str">
        <f aca="false">Personal!D20</f>
        <v>Operations Support</v>
      </c>
      <c r="E20" s="34" t="str">
        <f aca="false">Personal!V20</f>
        <v>Local</v>
      </c>
      <c r="F20" s="34" t="str">
        <f aca="false">Personal!W20</f>
        <v>Por definir</v>
      </c>
      <c r="G20" s="27" t="n">
        <f aca="false">Personal!U20/Supuestos!$D$10</f>
        <v>7266.66666666667</v>
      </c>
      <c r="H20" s="28" t="n">
        <f aca="false">Personal!U20/Supuestos!$D$10</f>
        <v>7266.66666666667</v>
      </c>
      <c r="I20" s="28" t="n">
        <f aca="false">Personal!U20/Supuestos!$D$10</f>
        <v>7266.66666666667</v>
      </c>
      <c r="J20" s="28" t="n">
        <f aca="false">Personal!U20/Supuestos!$D$10</f>
        <v>7266.66666666667</v>
      </c>
      <c r="K20" s="28" t="n">
        <f aca="false">Personal!U20/Supuestos!$D$10</f>
        <v>7266.66666666667</v>
      </c>
      <c r="L20" s="28" t="n">
        <f aca="false">Personal!U20/Supuestos!$D$10</f>
        <v>7266.66666666667</v>
      </c>
      <c r="M20" s="28" t="n">
        <f aca="false">Personal!AA20/Supuestos!$D$11+Personal!Z20</f>
        <v>6266.66666666667</v>
      </c>
      <c r="N20" s="28" t="n">
        <f aca="false">Personal!AA20/Supuestos!$D$11</f>
        <v>6266.66666666667</v>
      </c>
      <c r="O20" s="28" t="n">
        <f aca="false">Personal!AA20/Supuestos!$D$11</f>
        <v>6266.66666666667</v>
      </c>
      <c r="P20" s="28" t="n">
        <f aca="false">Personal!AA20/Supuestos!$D$11</f>
        <v>6266.66666666667</v>
      </c>
      <c r="Q20" s="28" t="n">
        <f aca="false">Personal!AA20/Supuestos!$D$11</f>
        <v>6266.66666666667</v>
      </c>
      <c r="R20" s="28" t="n">
        <f aca="false">Personal!AA20/Supuestos!$D$11</f>
        <v>6266.66666666667</v>
      </c>
      <c r="S20" s="74" t="n">
        <f aca="false">SUM(G20:R20)</f>
        <v>81200</v>
      </c>
      <c r="T20" s="51" t="str">
        <f aca="false">IF(OR(E20="Expatriado",E20="On rotation"),"Empresa cubre / neutraliza impuesto del país de trabajo",IF(OR(E20="Repatriado",E20="Local"),"Empleado asume impuesto personal",IF(E20="Remote","Remote — sin beneficios","Definir paquete")))</f>
        <v>Empleado asume impuesto personal</v>
      </c>
    </row>
    <row r="22" customFormat="false" ht="24" hidden="false" customHeight="true" outlineLevel="0" collapsed="false">
      <c r="C22" s="68" t="s">
        <v>76</v>
      </c>
      <c r="D22" s="68"/>
      <c r="E22" s="68"/>
      <c r="F22" s="68"/>
      <c r="G22" s="69" t="n">
        <f aca="false">SUM(G12:G20)</f>
        <v>169700</v>
      </c>
      <c r="H22" s="70" t="n">
        <f aca="false">SUM(H12:H20)</f>
        <v>169700</v>
      </c>
      <c r="I22" s="70" t="n">
        <f aca="false">SUM(I12:I20)</f>
        <v>169700</v>
      </c>
      <c r="J22" s="70" t="n">
        <f aca="false">SUM(J12:J20)</f>
        <v>169700</v>
      </c>
      <c r="K22" s="70" t="n">
        <f aca="false">SUM(K12:K20)</f>
        <v>169700</v>
      </c>
      <c r="L22" s="70" t="n">
        <f aca="false">SUM(L12:L20)</f>
        <v>169700</v>
      </c>
      <c r="M22" s="70" t="n">
        <f aca="false">SUM(M12:M20)</f>
        <v>191700</v>
      </c>
      <c r="N22" s="70" t="n">
        <f aca="false">SUM(N12:N20)</f>
        <v>191700</v>
      </c>
      <c r="O22" s="70" t="n">
        <f aca="false">SUM(O12:O20)</f>
        <v>191700</v>
      </c>
      <c r="P22" s="70" t="n">
        <f aca="false">SUM(P12:P20)</f>
        <v>191700</v>
      </c>
      <c r="Q22" s="70" t="n">
        <f aca="false">SUM(Q12:Q20)</f>
        <v>191700</v>
      </c>
      <c r="R22" s="70" t="n">
        <f aca="false">SUM(R12:R20)</f>
        <v>191700</v>
      </c>
      <c r="S22" s="70" t="n">
        <f aca="false">SUM(S12:S20)</f>
        <v>2168400</v>
      </c>
      <c r="T22" s="67"/>
    </row>
    <row r="25" customFormat="false" ht="19.5" hidden="false" customHeight="true" outlineLevel="0" collapsed="false">
      <c r="C25" s="6" t="s">
        <v>208</v>
      </c>
      <c r="D25" s="6"/>
      <c r="E25" s="6"/>
      <c r="F25" s="6"/>
      <c r="G25" s="6"/>
      <c r="H25" s="6"/>
      <c r="I25" s="6"/>
      <c r="J25" s="6"/>
      <c r="K25" s="6"/>
      <c r="L25" s="6"/>
      <c r="M25" s="6"/>
      <c r="N25" s="6"/>
      <c r="O25" s="6"/>
      <c r="P25" s="6"/>
      <c r="Q25" s="6"/>
      <c r="R25" s="6"/>
      <c r="S25" s="6"/>
      <c r="T25" s="6"/>
    </row>
    <row r="26" customFormat="false" ht="33.75" hidden="false" customHeight="true" outlineLevel="0" collapsed="false">
      <c r="C26" s="7" t="s">
        <v>30</v>
      </c>
      <c r="D26" s="7" t="s">
        <v>195</v>
      </c>
      <c r="E26" s="7" t="s">
        <v>196</v>
      </c>
      <c r="F26" s="7" t="s">
        <v>197</v>
      </c>
      <c r="G26" s="7" t="s">
        <v>198</v>
      </c>
      <c r="H26" s="7" t="s">
        <v>199</v>
      </c>
      <c r="I26" s="7" t="s">
        <v>200</v>
      </c>
      <c r="J26" s="7" t="s">
        <v>201</v>
      </c>
      <c r="K26" s="7" t="s">
        <v>202</v>
      </c>
      <c r="L26" s="7" t="s">
        <v>203</v>
      </c>
      <c r="M26" s="7" t="s">
        <v>204</v>
      </c>
      <c r="N26" s="7" t="s">
        <v>205</v>
      </c>
      <c r="O26" s="7" t="s">
        <v>206</v>
      </c>
      <c r="P26" s="7" t="s">
        <v>47</v>
      </c>
      <c r="Q26" s="7" t="s">
        <v>209</v>
      </c>
    </row>
    <row r="27" customFormat="false" ht="30" hidden="false" customHeight="true" outlineLevel="0" collapsed="false">
      <c r="C27" s="19" t="s">
        <v>36</v>
      </c>
      <c r="D27" s="9" t="n">
        <f aca="false">Personal!U22/Supuestos!$D$10</f>
        <v>169700</v>
      </c>
      <c r="E27" s="20" t="n">
        <f aca="false">Personal!U22/Supuestos!$D$10</f>
        <v>169700</v>
      </c>
      <c r="F27" s="20" t="n">
        <f aca="false">Personal!U22/Supuestos!$D$10</f>
        <v>169700</v>
      </c>
      <c r="G27" s="20" t="n">
        <f aca="false">Personal!U22/Supuestos!$D$10</f>
        <v>169700</v>
      </c>
      <c r="H27" s="20" t="n">
        <f aca="false">Personal!U22/Supuestos!$D$10</f>
        <v>169700</v>
      </c>
      <c r="I27" s="20" t="n">
        <f aca="false">Personal!U22/Supuestos!$D$10</f>
        <v>169700</v>
      </c>
      <c r="J27" s="72" t="n">
        <f aca="false">M22</f>
        <v>191700</v>
      </c>
      <c r="K27" s="72" t="n">
        <f aca="false">N22</f>
        <v>191700</v>
      </c>
      <c r="L27" s="72" t="n">
        <f aca="false">O22</f>
        <v>191700</v>
      </c>
      <c r="M27" s="72" t="n">
        <f aca="false">P22</f>
        <v>191700</v>
      </c>
      <c r="N27" s="72" t="n">
        <f aca="false">Q22</f>
        <v>191700</v>
      </c>
      <c r="O27" s="72" t="n">
        <f aca="false">R22</f>
        <v>191700</v>
      </c>
      <c r="P27" s="72" t="n">
        <f aca="false">SUM(D27:O27)</f>
        <v>2168400</v>
      </c>
      <c r="Q27" s="10" t="s">
        <v>210</v>
      </c>
    </row>
    <row r="28" customFormat="false" ht="30" hidden="false" customHeight="true" outlineLevel="0" collapsed="false">
      <c r="C28" s="21" t="s">
        <v>211</v>
      </c>
      <c r="D28" s="12" t="n">
        <f aca="false">Personal!U22/Supuestos!$D$10</f>
        <v>169700</v>
      </c>
      <c r="E28" s="24" t="n">
        <f aca="false">Personal!U22/Supuestos!$D$10</f>
        <v>169700</v>
      </c>
      <c r="F28" s="24" t="n">
        <f aca="false">Personal!U22/Supuestos!$D$10</f>
        <v>169700</v>
      </c>
      <c r="G28" s="24" t="n">
        <f aca="false">Personal!U22/Supuestos!$D$10</f>
        <v>169700</v>
      </c>
      <c r="H28" s="24" t="n">
        <f aca="false">Personal!U22/Supuestos!$D$10</f>
        <v>169700</v>
      </c>
      <c r="I28" s="24" t="n">
        <f aca="false">Personal!U22/Supuestos!$D$10</f>
        <v>169700</v>
      </c>
      <c r="J28" s="24" t="n">
        <f aca="false">(SUM(Personal!F12:F20)+SUM(Personal!G12:G20)+SUM(Personal!H12:H20)+SUM(Personal!I12:I20)+SUM(Personal!J12:J20)+SUM(Personal!K12:K20)*Supuestos!$D$14)/12</f>
        <v>193566.666666667</v>
      </c>
      <c r="K28" s="24" t="n">
        <f aca="false">(SUM(Personal!F12:F20)+SUM(Personal!G12:G20)+SUM(Personal!H12:H20)+SUM(Personal!I12:I20)+SUM(Personal!J12:J20)+SUM(Personal!K12:K20)*Supuestos!$D$14)/12</f>
        <v>193566.666666667</v>
      </c>
      <c r="L28" s="24" t="n">
        <f aca="false">(SUM(Personal!F12:F20)+SUM(Personal!G12:G20)+SUM(Personal!H12:H20)+SUM(Personal!I12:I20)+SUM(Personal!J12:J20)+SUM(Personal!K12:K20)*Supuestos!$D$14)/12</f>
        <v>193566.666666667</v>
      </c>
      <c r="M28" s="24" t="n">
        <f aca="false">(SUM(Personal!F12:F20)+SUM(Personal!G12:G20)+SUM(Personal!H12:H20)+SUM(Personal!I12:I20)+SUM(Personal!J12:J20)+SUM(Personal!K12:K20)*Supuestos!$D$14)/12</f>
        <v>193566.666666667</v>
      </c>
      <c r="N28" s="24" t="n">
        <f aca="false">(SUM(Personal!F12:F20)+SUM(Personal!G12:G20)+SUM(Personal!H12:H20)+SUM(Personal!I12:I20)+SUM(Personal!J12:J20)+SUM(Personal!K12:K20)*Supuestos!$D$14)/12</f>
        <v>193566.666666667</v>
      </c>
      <c r="O28" s="24" t="n">
        <f aca="false">(SUM(Personal!F12:F20)+SUM(Personal!G12:G20)+SUM(Personal!H12:H20)+SUM(Personal!I12:I20)+SUM(Personal!J12:J20)+SUM(Personal!K12:K20)*Supuestos!$D$14)/12</f>
        <v>193566.666666667</v>
      </c>
      <c r="P28" s="25" t="n">
        <f aca="false">SUM(D28:O28)</f>
        <v>2179600</v>
      </c>
      <c r="Q28" s="13" t="s">
        <v>212</v>
      </c>
    </row>
    <row r="29" customFormat="false" ht="30" hidden="false" customHeight="true" outlineLevel="0" collapsed="false">
      <c r="C29" s="21" t="s">
        <v>213</v>
      </c>
      <c r="D29" s="12" t="n">
        <f aca="false">Personal!U22/Supuestos!$D$10</f>
        <v>169700</v>
      </c>
      <c r="E29" s="24" t="n">
        <f aca="false">Personal!U22/Supuestos!$D$10</f>
        <v>169700</v>
      </c>
      <c r="F29" s="24" t="n">
        <f aca="false">Personal!U22/Supuestos!$D$10</f>
        <v>169700</v>
      </c>
      <c r="G29" s="24" t="n">
        <f aca="false">Personal!U22/Supuestos!$D$10</f>
        <v>169700</v>
      </c>
      <c r="H29" s="24" t="n">
        <f aca="false">Personal!U22/Supuestos!$D$10</f>
        <v>169700</v>
      </c>
      <c r="I29" s="24" t="n">
        <f aca="false">Personal!U22/Supuestos!$D$10</f>
        <v>169700</v>
      </c>
      <c r="J29" s="24" t="n">
        <f aca="false">(SUM(Personal!F12:F20)+SUM(Personal!G12:G20)+SUM(Personal!H12:H20)+SUM(Personal!J12:J20)+SUM(Personal!K12:K20)*Supuestos!$D$13)/12</f>
        <v>162033.333333333</v>
      </c>
      <c r="K29" s="24" t="n">
        <f aca="false">(SUM(Personal!F12:F20)+SUM(Personal!G12:G20)+SUM(Personal!H12:H20)+SUM(Personal!J12:J20)+SUM(Personal!K12:K20)*Supuestos!$D$13)/12</f>
        <v>162033.333333333</v>
      </c>
      <c r="L29" s="24" t="n">
        <f aca="false">(SUM(Personal!F12:F20)+SUM(Personal!G12:G20)+SUM(Personal!H12:H20)+SUM(Personal!J12:J20)+SUM(Personal!K12:K20)*Supuestos!$D$13)/12</f>
        <v>162033.333333333</v>
      </c>
      <c r="M29" s="24" t="n">
        <f aca="false">(SUM(Personal!F12:F20)+SUM(Personal!G12:G20)+SUM(Personal!H12:H20)+SUM(Personal!J12:J20)+SUM(Personal!K12:K20)*Supuestos!$D$13)/12</f>
        <v>162033.333333333</v>
      </c>
      <c r="N29" s="24" t="n">
        <f aca="false">(SUM(Personal!F12:F20)+SUM(Personal!G12:G20)+SUM(Personal!H12:H20)+SUM(Personal!J12:J20)+SUM(Personal!K12:K20)*Supuestos!$D$13)/12</f>
        <v>162033.333333333</v>
      </c>
      <c r="O29" s="24" t="n">
        <f aca="false">(SUM(Personal!F12:F20)+SUM(Personal!G12:G20)+SUM(Personal!H12:H20)+SUM(Personal!J12:J20)+SUM(Personal!K12:K20)*Supuestos!$D$13)/12</f>
        <v>162033.333333333</v>
      </c>
      <c r="P29" s="25" t="n">
        <f aca="false">SUM(D29:O29)</f>
        <v>1990400</v>
      </c>
      <c r="Q29" s="13" t="s">
        <v>214</v>
      </c>
    </row>
    <row r="30" customFormat="false" ht="30" hidden="false" customHeight="true" outlineLevel="0" collapsed="false">
      <c r="C30" s="26" t="s">
        <v>215</v>
      </c>
      <c r="D30" s="27" t="n">
        <f aca="false">Personal!U22/Supuestos!$D$10</f>
        <v>169700</v>
      </c>
      <c r="E30" s="28" t="n">
        <f aca="false">Personal!U22/Supuestos!$D$10</f>
        <v>169700</v>
      </c>
      <c r="F30" s="28" t="n">
        <f aca="false">Personal!U22/Supuestos!$D$10</f>
        <v>169700</v>
      </c>
      <c r="G30" s="28" t="n">
        <f aca="false">Personal!U22/Supuestos!$D$10</f>
        <v>169700</v>
      </c>
      <c r="H30" s="28" t="n">
        <f aca="false">Personal!U22/Supuestos!$D$10</f>
        <v>169700</v>
      </c>
      <c r="I30" s="28" t="n">
        <f aca="false">Personal!U22/Supuestos!$D$10</f>
        <v>169700</v>
      </c>
      <c r="J30" s="28" t="n">
        <f aca="false">(SUM(Personal!F12:F20)+SUM(Personal!H12:H20)+SUM(Personal!J12:J20)+SUM(Personal!K12:K20)*Supuestos!$D$13)/12</f>
        <v>147033.333333333</v>
      </c>
      <c r="K30" s="28" t="n">
        <f aca="false">(SUM(Personal!F12:F20)+SUM(Personal!H12:H20)+SUM(Personal!J12:J20)+SUM(Personal!K12:K20)*Supuestos!$D$13)/12</f>
        <v>147033.333333333</v>
      </c>
      <c r="L30" s="28" t="n">
        <f aca="false">(SUM(Personal!F12:F20)+SUM(Personal!H12:H20)+SUM(Personal!J12:J20)+SUM(Personal!K12:K20)*Supuestos!$D$13)/12</f>
        <v>147033.333333333</v>
      </c>
      <c r="M30" s="28" t="n">
        <f aca="false">(SUM(Personal!F12:F20)+SUM(Personal!H12:H20)+SUM(Personal!J12:J20)+SUM(Personal!K12:K20)*Supuestos!$D$13)/12</f>
        <v>147033.333333333</v>
      </c>
      <c r="N30" s="28" t="n">
        <f aca="false">(SUM(Personal!F12:F20)+SUM(Personal!H12:H20)+SUM(Personal!J12:J20)+SUM(Personal!K12:K20)*Supuestos!$D$13)/12</f>
        <v>147033.333333333</v>
      </c>
      <c r="O30" s="28" t="n">
        <f aca="false">(SUM(Personal!F12:F20)+SUM(Personal!H12:H20)+SUM(Personal!J12:J20)+SUM(Personal!K12:K20)*Supuestos!$D$13)/12</f>
        <v>147033.333333333</v>
      </c>
      <c r="P30" s="29" t="n">
        <f aca="false">SUM(D30:O30)</f>
        <v>1900400</v>
      </c>
      <c r="Q30" s="18" t="s">
        <v>214</v>
      </c>
    </row>
  </sheetData>
  <mergeCells count="4">
    <mergeCell ref="C4:T4"/>
    <mergeCell ref="C9:T9"/>
    <mergeCell ref="C22:F22"/>
    <mergeCell ref="C25:T25"/>
  </mergeCells>
  <printOptions headings="true" gridLines="false" gridLinesSet="true" horizontalCentered="false" verticalCentered="false"/>
  <pageMargins left="0.75" right="0.75" top="1" bottom="0.958333333333333" header="0.511811023622047" footer="0.5"/>
  <pageSetup paperSize="1"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&amp;C&amp;8 &amp;K666666Mensual | Página &amp;P de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7421875" defaultRowHeight="15" zeroHeight="false" outlineLevelRow="0" outlineLevelCol="0"/>
  <cols>
    <col collapsed="false" customWidth="true" hidden="false" outlineLevel="0" max="2" min="1" style="1" width="20"/>
    <col collapsed="false" customWidth="true" hidden="false" outlineLevel="0" max="3" min="3" style="1" width="22"/>
    <col collapsed="false" customWidth="true" hidden="false" outlineLevel="0" max="11" min="4" style="1" width="12"/>
  </cols>
  <sheetData>
    <row r="1" customFormat="false" ht="15" hidden="false" customHeight="true" outlineLevel="0" collapsed="false">
      <c r="A1" s="2"/>
      <c r="B1" s="2"/>
      <c r="C1" s="2"/>
      <c r="D1" s="2"/>
      <c r="E1" s="2"/>
      <c r="F1" s="2"/>
      <c r="G1" s="2"/>
      <c r="H1" s="2"/>
      <c r="I1" s="2"/>
      <c r="J1" s="2"/>
      <c r="K1" s="2"/>
    </row>
    <row r="4" customFormat="false" ht="24.75" hidden="false" customHeight="true" outlineLevel="0" collapsed="false">
      <c r="C4" s="3" t="s">
        <v>216</v>
      </c>
      <c r="D4" s="3"/>
      <c r="E4" s="3"/>
      <c r="F4" s="3"/>
      <c r="G4" s="3"/>
      <c r="H4" s="3"/>
      <c r="I4" s="3"/>
      <c r="J4" s="3"/>
      <c r="K4" s="3"/>
    </row>
    <row r="6" customFormat="false" ht="15" hidden="false" customHeight="true" outlineLevel="0" collapsed="false">
      <c r="C6" s="4" t="s">
        <v>217</v>
      </c>
    </row>
    <row r="7" customFormat="false" ht="15" hidden="false" customHeight="true" outlineLevel="0" collapsed="false">
      <c r="C7" s="5" t="s">
        <v>218</v>
      </c>
    </row>
    <row r="9" customFormat="false" ht="19.5" hidden="false" customHeight="true" outlineLevel="0" collapsed="false">
      <c r="C9" s="6" t="s">
        <v>219</v>
      </c>
      <c r="D9" s="6"/>
      <c r="E9" s="6"/>
      <c r="F9" s="6"/>
      <c r="G9" s="6"/>
      <c r="H9" s="6"/>
      <c r="I9" s="6"/>
      <c r="J9" s="6"/>
      <c r="K9" s="6"/>
    </row>
    <row r="10" customFormat="false" ht="24" hidden="false" customHeight="true" outlineLevel="0" collapsed="false">
      <c r="C10" s="35" t="s">
        <v>220</v>
      </c>
      <c r="D10" s="35"/>
      <c r="E10" s="35"/>
      <c r="F10" s="35"/>
      <c r="G10" s="35"/>
      <c r="H10" s="35"/>
      <c r="I10" s="35"/>
      <c r="J10" s="35"/>
      <c r="K10" s="35"/>
    </row>
    <row r="11" customFormat="false" ht="24" hidden="false" customHeight="true" outlineLevel="0" collapsed="false">
      <c r="C11" s="35" t="s">
        <v>221</v>
      </c>
      <c r="D11" s="35"/>
      <c r="E11" s="35"/>
      <c r="F11" s="35"/>
      <c r="G11" s="35"/>
      <c r="H11" s="35"/>
      <c r="I11" s="35"/>
      <c r="J11" s="35"/>
      <c r="K11" s="35"/>
    </row>
    <row r="12" customFormat="false" ht="24" hidden="false" customHeight="true" outlineLevel="0" collapsed="false">
      <c r="C12" s="35" t="s">
        <v>222</v>
      </c>
      <c r="D12" s="35"/>
      <c r="E12" s="35"/>
      <c r="F12" s="35"/>
      <c r="G12" s="35"/>
      <c r="H12" s="35"/>
      <c r="I12" s="35"/>
      <c r="J12" s="35"/>
      <c r="K12" s="35"/>
    </row>
    <row r="13" customFormat="false" ht="24" hidden="false" customHeight="true" outlineLevel="0" collapsed="false">
      <c r="C13" s="35" t="s">
        <v>223</v>
      </c>
      <c r="D13" s="35"/>
      <c r="E13" s="35"/>
      <c r="F13" s="35"/>
      <c r="G13" s="35"/>
      <c r="H13" s="35"/>
      <c r="I13" s="35"/>
      <c r="J13" s="35"/>
      <c r="K13" s="35"/>
    </row>
    <row r="15" customFormat="false" ht="19.5" hidden="false" customHeight="true" outlineLevel="0" collapsed="false">
      <c r="C15" s="6" t="s">
        <v>224</v>
      </c>
      <c r="D15" s="6"/>
      <c r="E15" s="6"/>
      <c r="F15" s="6"/>
      <c r="G15" s="6"/>
      <c r="H15" s="6"/>
      <c r="I15" s="6"/>
      <c r="J15" s="6"/>
      <c r="K15" s="6"/>
    </row>
    <row r="16" customFormat="false" ht="24" hidden="false" customHeight="true" outlineLevel="0" collapsed="false">
      <c r="C16" s="35" t="s">
        <v>225</v>
      </c>
      <c r="D16" s="35"/>
      <c r="E16" s="35"/>
      <c r="F16" s="35"/>
      <c r="G16" s="35"/>
      <c r="H16" s="35"/>
      <c r="I16" s="35"/>
      <c r="J16" s="35"/>
      <c r="K16" s="35"/>
    </row>
    <row r="17" customFormat="false" ht="24" hidden="false" customHeight="true" outlineLevel="0" collapsed="false">
      <c r="C17" s="35" t="s">
        <v>226</v>
      </c>
      <c r="D17" s="35"/>
      <c r="E17" s="35"/>
      <c r="F17" s="35"/>
      <c r="G17" s="35"/>
      <c r="H17" s="35"/>
      <c r="I17" s="35"/>
      <c r="J17" s="35"/>
      <c r="K17" s="35"/>
    </row>
    <row r="18" customFormat="false" ht="24" hidden="false" customHeight="true" outlineLevel="0" collapsed="false">
      <c r="C18" s="35" t="s">
        <v>227</v>
      </c>
      <c r="D18" s="35"/>
      <c r="E18" s="35"/>
      <c r="F18" s="35"/>
      <c r="G18" s="35"/>
      <c r="H18" s="35"/>
      <c r="I18" s="35"/>
      <c r="J18" s="35"/>
      <c r="K18" s="35"/>
    </row>
    <row r="19" customFormat="false" ht="24" hidden="false" customHeight="true" outlineLevel="0" collapsed="false">
      <c r="C19" s="35" t="s">
        <v>228</v>
      </c>
      <c r="D19" s="35"/>
      <c r="E19" s="35"/>
      <c r="F19" s="35"/>
      <c r="G19" s="35"/>
      <c r="H19" s="35"/>
      <c r="I19" s="35"/>
      <c r="J19" s="35"/>
      <c r="K19" s="35"/>
    </row>
    <row r="20" customFormat="false" ht="33.75" hidden="false" customHeight="true" outlineLevel="0" collapsed="false">
      <c r="C20" s="35" t="s">
        <v>229</v>
      </c>
      <c r="D20" s="35"/>
      <c r="E20" s="35"/>
      <c r="F20" s="35"/>
      <c r="G20" s="35"/>
      <c r="H20" s="35"/>
      <c r="I20" s="35"/>
      <c r="J20" s="35"/>
      <c r="K20" s="35"/>
    </row>
    <row r="21" customFormat="false" ht="24" hidden="false" customHeight="true" outlineLevel="0" collapsed="false">
      <c r="C21" s="35" t="s">
        <v>230</v>
      </c>
      <c r="D21" s="35"/>
      <c r="E21" s="35"/>
      <c r="F21" s="35"/>
      <c r="G21" s="35"/>
      <c r="H21" s="35"/>
      <c r="I21" s="35"/>
      <c r="J21" s="35"/>
      <c r="K21" s="35"/>
    </row>
    <row r="22" customFormat="false" ht="19.5" hidden="false" customHeight="true" outlineLevel="0" collapsed="false">
      <c r="C22" s="6" t="s">
        <v>231</v>
      </c>
      <c r="D22" s="6"/>
      <c r="E22" s="6"/>
      <c r="F22" s="6"/>
      <c r="G22" s="6"/>
      <c r="H22" s="6"/>
      <c r="I22" s="6"/>
      <c r="J22" s="6"/>
      <c r="K22" s="6"/>
    </row>
    <row r="23" customFormat="false" ht="24" hidden="false" customHeight="true" outlineLevel="0" collapsed="false">
      <c r="C23" s="35" t="s">
        <v>232</v>
      </c>
      <c r="D23" s="35"/>
      <c r="E23" s="35"/>
      <c r="F23" s="35"/>
      <c r="G23" s="35"/>
      <c r="H23" s="35"/>
      <c r="I23" s="35"/>
      <c r="J23" s="35"/>
      <c r="K23" s="35"/>
    </row>
    <row r="24" customFormat="false" ht="33.75" hidden="false" customHeight="true" outlineLevel="0" collapsed="false">
      <c r="C24" s="35" t="s">
        <v>233</v>
      </c>
      <c r="D24" s="35"/>
      <c r="E24" s="35"/>
      <c r="F24" s="35"/>
      <c r="G24" s="35"/>
      <c r="H24" s="35"/>
      <c r="I24" s="35"/>
      <c r="J24" s="35"/>
      <c r="K24" s="35"/>
    </row>
    <row r="25" customFormat="false" ht="33.75" hidden="false" customHeight="true" outlineLevel="0" collapsed="false">
      <c r="C25" s="35" t="s">
        <v>234</v>
      </c>
      <c r="D25" s="35"/>
      <c r="E25" s="35"/>
      <c r="F25" s="35"/>
      <c r="G25" s="35"/>
      <c r="H25" s="35"/>
      <c r="I25" s="35"/>
      <c r="J25" s="35"/>
      <c r="K25" s="35"/>
    </row>
    <row r="26" customFormat="false" ht="24" hidden="false" customHeight="true" outlineLevel="0" collapsed="false">
      <c r="C26" s="35" t="s">
        <v>235</v>
      </c>
      <c r="D26" s="35"/>
      <c r="E26" s="35"/>
      <c r="F26" s="35"/>
      <c r="G26" s="35"/>
      <c r="H26" s="35"/>
      <c r="I26" s="35"/>
      <c r="J26" s="35"/>
      <c r="K26" s="35"/>
    </row>
    <row r="27" customFormat="false" ht="19.5" hidden="false" customHeight="true" outlineLevel="0" collapsed="false">
      <c r="C27" s="6" t="s">
        <v>236</v>
      </c>
      <c r="D27" s="6"/>
      <c r="E27" s="6"/>
      <c r="F27" s="6"/>
      <c r="G27" s="6"/>
      <c r="H27" s="6"/>
      <c r="I27" s="6"/>
      <c r="J27" s="6"/>
      <c r="K27" s="6"/>
    </row>
    <row r="28" customFormat="false" ht="33.75" hidden="false" customHeight="true" outlineLevel="0" collapsed="false">
      <c r="C28" s="35" t="s">
        <v>237</v>
      </c>
      <c r="D28" s="35"/>
      <c r="E28" s="35"/>
      <c r="F28" s="35"/>
      <c r="G28" s="35"/>
      <c r="H28" s="35"/>
      <c r="I28" s="35"/>
      <c r="J28" s="35"/>
      <c r="K28" s="35"/>
    </row>
    <row r="29" customFormat="false" ht="24" hidden="false" customHeight="true" outlineLevel="0" collapsed="false">
      <c r="C29" s="35" t="s">
        <v>238</v>
      </c>
      <c r="D29" s="35"/>
      <c r="E29" s="35"/>
      <c r="F29" s="35"/>
      <c r="G29" s="35"/>
      <c r="H29" s="35"/>
      <c r="I29" s="35"/>
      <c r="J29" s="35"/>
      <c r="K29" s="35"/>
    </row>
    <row r="31" customFormat="false" ht="19.5" hidden="false" customHeight="true" outlineLevel="0" collapsed="false">
      <c r="C31" s="6" t="s">
        <v>239</v>
      </c>
      <c r="D31" s="6"/>
      <c r="E31" s="6"/>
      <c r="F31" s="6"/>
      <c r="G31" s="6"/>
      <c r="H31" s="6"/>
      <c r="I31" s="6"/>
      <c r="J31" s="6"/>
      <c r="K31" s="6"/>
    </row>
    <row r="32" customFormat="false" ht="15" hidden="false" customHeight="true" outlineLevel="0" collapsed="false">
      <c r="C32" s="53" t="s">
        <v>240</v>
      </c>
      <c r="D32" s="53"/>
      <c r="E32" s="53"/>
      <c r="F32" s="53"/>
      <c r="G32" s="53"/>
      <c r="H32" s="53"/>
      <c r="I32" s="53"/>
      <c r="J32" s="53"/>
      <c r="K32" s="53"/>
    </row>
    <row r="33" customFormat="false" ht="15" hidden="false" customHeight="true" outlineLevel="0" collapsed="false">
      <c r="C33" s="53"/>
      <c r="D33" s="53"/>
      <c r="E33" s="53"/>
      <c r="F33" s="53"/>
      <c r="G33" s="53"/>
      <c r="H33" s="53"/>
      <c r="I33" s="53"/>
      <c r="J33" s="53"/>
      <c r="K33" s="53"/>
    </row>
    <row r="34" customFormat="false" ht="15" hidden="false" customHeight="true" outlineLevel="0" collapsed="false">
      <c r="C34" s="53"/>
      <c r="D34" s="53"/>
      <c r="E34" s="53"/>
      <c r="F34" s="53"/>
      <c r="G34" s="53"/>
      <c r="H34" s="53"/>
      <c r="I34" s="53"/>
      <c r="J34" s="53"/>
      <c r="K34" s="53"/>
    </row>
    <row r="35" customFormat="false" ht="15" hidden="false" customHeight="true" outlineLevel="0" collapsed="false">
      <c r="C35" s="53"/>
      <c r="D35" s="53"/>
      <c r="E35" s="53"/>
      <c r="F35" s="53"/>
      <c r="G35" s="53"/>
      <c r="H35" s="53"/>
      <c r="I35" s="53"/>
      <c r="J35" s="53"/>
      <c r="K35" s="53"/>
    </row>
  </sheetData>
  <mergeCells count="23">
    <mergeCell ref="C4:K4"/>
    <mergeCell ref="C9:K9"/>
    <mergeCell ref="C10:K10"/>
    <mergeCell ref="C11:K11"/>
    <mergeCell ref="C12:K12"/>
    <mergeCell ref="C13:K13"/>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1:K31"/>
    <mergeCell ref="C32:K35"/>
  </mergeCells>
  <printOptions headings="true" gridLines="false" gridLinesSet="true" horizontalCentered="false" verticalCentered="false"/>
  <pageMargins left="0.75" right="0.75" top="1" bottom="0.958333333333333" header="0.511811023622047" footer="0.5"/>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&amp;C&amp;8 &amp;K666666Definiciones | Página &amp;P de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2026-09-05T19:05:22Z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