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sumen" sheetId="1" state="visible" r:id="rId3"/>
    <sheet name="Supuestos" sheetId="2" state="visible" r:id="rId4"/>
    <sheet name="Personal" sheetId="3" state="visible" r:id="rId5"/>
    <sheet name="Definiciones" sheetId="4" state="visible" r:id="rId6"/>
  </sheets>
  <definedNames>
    <definedName function="false" hidden="false" localSheetId="3" name="_xlnm.Print_Area" vbProcedure="false">Definiciones!$B$2:$K$34</definedName>
    <definedName function="false" hidden="false" localSheetId="2" name="_xlnm.Print_Area" vbProcedure="false">Personal!$B$2:$AF$21</definedName>
    <definedName function="false" hidden="false" localSheetId="2" name="_xlnm.Print_Titles" vbProcedure="false">Personal!$10:$10</definedName>
    <definedName function="false" hidden="true" localSheetId="2" name="_xlnm._FilterDatabase" vbProcedure="false">Personal!$C$10:$AF$19</definedName>
    <definedName function="false" hidden="false" localSheetId="0" name="_xlnm.Print_Area" vbProcedure="false">Resumen!$B$2:$R$45</definedName>
    <definedName function="false" hidden="false" localSheetId="1" name="_xlnm.Print_Area" vbProcedure="false">Supuestos!$B$2:$J$36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9" authorId="0">
      <text>
        <r>
          <rPr>
            <sz val="10"/>
            <rFont val="Arial"/>
            <family val="2"/>
          </rPr>
          <t xml:space="preserve">Fuente: supuesto presupuestario del modelo preparado el 5 de septiembre de 2026. Duración solicitada por la gerencia: primeros seis meses como consultor.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0" authorId="0">
      <text>
        <r>
          <rPr>
            <sz val="10"/>
            <rFont val="Arial"/>
            <family val="2"/>
          </rPr>
          <t xml:space="preserve">Fuente: supuesto presupuestario del modelo preparado el 5 de septiembre de 2026. Segundo bloque presupuestario del año: meses 7 a 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1" authorId="0">
      <text>
        <r>
          <rPr>
            <sz val="10"/>
            <rFont val="Arial"/>
            <family val="2"/>
          </rPr>
          <t xml:space="preserve">Fuente: supuesto presupuestario del modelo preparado el 5 de septiembre de 2026. Supuesto gerencial: no se carga Tax &amp; Social venezolano durante la etapa de consultoría. Requiere validación legal y fiscal independiente.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10</xdr:rowOff>
              </xdr:to>
            </anchor>
          </commentPr>
        </mc:Choice>
        <mc:Fallback/>
      </mc:AlternateContent>
    </comment>
    <comment ref="D16" authorId="0">
      <text>
        <r>
          <rPr>
            <sz val="10"/>
            <rFont val="Arial"/>
            <family val="2"/>
          </rPr>
          <t xml:space="preserve">Fuente: supuesto presupuestario del modelo preparado el 5 de septiembre de 2026. Política automática de vivienda para la ciudad 'Caracas'. Puede modificarse por decisión gerencial.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D17" authorId="0">
      <text>
        <r>
          <rPr>
            <sz val="10"/>
            <rFont val="Arial"/>
            <family val="2"/>
          </rPr>
          <t xml:space="preserve">Fuente: supuesto presupuestario del modelo preparado el 5 de septiembre de 2026. Política automática de vivienda para la ciudad 'Maracaibo'. Puede modificarse por decisión gerencial.</t>
        </r>
      </text>
      <mc:AlternateContent>
        <mc:Choice Requires="v2">
          <commentPr autoFill="true" autoScale="false" colHidden="false" locked="false" rowHidden="false" textHAlign="justify" textVAlign="top">
            <anchor moveWithCells="false" sizeWithCells="false">
              <xdr:from>
                <xdr:col>0</xdr:col>
                <xdr:colOff>79</xdr:colOff>
                <xdr:row>0</xdr:row>
                <xdr:rowOff>14</xdr:rowOff>
              </xdr:from>
              <xdr:to>
                <xdr:col>1</xdr:col>
                <xdr:colOff>55</xdr:colOff>
                <xdr:row>7</xdr:row>
                <xdr:rowOff>18</xdr:rowOff>
              </xdr:to>
            </anchor>
          </commentPr>
        </mc:Choice>
        <mc:Fallback/>
      </mc:AlternateContent>
    </comment>
    <comment ref="D18" authorId="0">
      <text>
        <r>
          <rPr>
            <sz val="10"/>
            <rFont val="Arial"/>
            <family val="2"/>
          </rPr>
          <t xml:space="preserve">Fuente: supuesto presupuestario del modelo preparado el 5 de septiembre de 2026. Política automática de vivienda para la ciudad 'Otro'. Puede modificarse por decisión gerencial.</t>
        </r>
      </text>
      <mc:AlternateContent>
        <mc:Choice Requires="v2">
          <commentPr autoFill="true" autoScale="false" colHidden="false" locked="false" rowHidden="false" textHAlign="justify" textVAlign="top">
            <anchor moveWithCells="false" sizeWithCells="false">
              <xdr:from>
                <xdr:col>0</xdr:col>
                <xdr:colOff>79</xdr:colOff>
                <xdr:row>1</xdr:row>
                <xdr:rowOff>6</xdr:rowOff>
              </xdr:from>
              <xdr:to>
                <xdr:col>1</xdr:col>
                <xdr:colOff>55</xdr:colOff>
                <xdr:row>8</xdr:row>
                <xdr:rowOff>3</xdr:rowOff>
              </xdr:to>
            </anchor>
          </commentPr>
        </mc:Choice>
        <mc:Fallback/>
      </mc:AlternateContent>
    </comment>
    <comment ref="D19" authorId="0">
      <text>
        <r>
          <rPr>
            <sz val="10"/>
            <rFont val="Arial"/>
            <family val="2"/>
          </rPr>
          <t xml:space="preserve">Fuente: supuesto presupuestario del modelo preparado el 5 de septiembre de 2026. Política automática de vivienda para la ciudad 'Por definir'. Puede modificarse por decisión gerencial.</t>
        </r>
      </text>
      <mc:AlternateContent>
        <mc:Choice Requires="v2">
          <commentPr autoFill="true" autoScale="false" colHidden="false" locked="false" rowHidden="false" textHAlign="justify" textVAlign="top">
            <anchor moveWithCells="false" sizeWithCells="false">
              <xdr:from>
                <xdr:col>0</xdr:col>
                <xdr:colOff>79</xdr:colOff>
                <xdr:row>1</xdr:row>
                <xdr:rowOff>17</xdr:rowOff>
              </xdr:from>
              <xdr:to>
                <xdr:col>1</xdr:col>
                <xdr:colOff>55</xdr:colOff>
                <xdr:row>8</xdr:row>
                <xdr:rowOff>15</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1" authorId="0">
      <text>
        <r>
          <rPr>
            <sz val="10"/>
            <rFont val="Arial"/>
            <family val="2"/>
          </rPr>
          <t xml:space="preserve">Fuente: Tabla de paquetes de personal suministrada por el usuario. Fecha: 5 de septiembre de 2026. Fila 1,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2" authorId="0">
      <text>
        <r>
          <rPr>
            <sz val="10"/>
            <rFont val="Arial"/>
            <family val="2"/>
          </rPr>
          <t xml:space="preserve">Fuente: Tabla de paquetes de personal suministrada por el usuario. Fecha: 5 de septiembre de 2026. Fila 2,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3" authorId="0">
      <text>
        <r>
          <rPr>
            <sz val="10"/>
            <rFont val="Arial"/>
            <family val="2"/>
          </rPr>
          <t xml:space="preserve">Fuente: Tabla de paquetes de personal suministrada por el usuario. Fecha: 5 de septiembre de 2026. Fila 3,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4" authorId="0">
      <text>
        <r>
          <rPr>
            <sz val="10"/>
            <rFont val="Arial"/>
            <family val="2"/>
          </rPr>
          <t xml:space="preserve">Fuente: Tabla de paquetes de personal suministrada por el usuario. Fecha: 5 de septiembre de 2026. Fila 4,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5" authorId="0">
      <text>
        <r>
          <rPr>
            <sz val="10"/>
            <rFont val="Arial"/>
            <family val="2"/>
          </rPr>
          <t xml:space="preserve">Fuente: Tabla de paquetes de personal suministrada por el usuario. Fecha: 5 de septiembre de 2026. Fila 5,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6" authorId="0">
      <text>
        <r>
          <rPr>
            <sz val="10"/>
            <rFont val="Arial"/>
            <family val="2"/>
          </rPr>
          <t xml:space="preserve">Fuente: Tabla de paquetes de personal suministrada por el usuario. Fecha: 5 de septiembre de 2026. Fila 6,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7" authorId="0">
      <text>
        <r>
          <rPr>
            <sz val="10"/>
            <rFont val="Arial"/>
            <family val="2"/>
          </rPr>
          <t xml:space="preserve">Fuente: Tabla de paquetes de personal suministrada por el usuario. Fecha: 5 de septiembre de 2026. Fila 7,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8" authorId="0">
      <text>
        <r>
          <rPr>
            <sz val="10"/>
            <rFont val="Arial"/>
            <family val="2"/>
          </rPr>
          <t xml:space="preserve">Fuente: Tabla de paquetes de personal suministrada por el usuario. Fecha: 5 de septiembre de 2026. Fila 8,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9" authorId="0">
      <text>
        <r>
          <rPr>
            <sz val="10"/>
            <rFont val="Arial"/>
            <family val="2"/>
          </rPr>
          <t xml:space="preserve">Fuente: Tabla de paquetes de personal suministrada por el usuario. Fecha: 5 de septiembre de 2026. Fila 9,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1" authorId="0">
      <text>
        <r>
          <rPr>
            <sz val="10"/>
            <rFont val="Arial"/>
            <family val="2"/>
          </rPr>
          <t xml:space="preserve">Fuente: Tabla de paquetes de personal suministrada por el usuario. Fecha: 5 de septiembre de 2026. Fila 1,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2" authorId="0">
      <text>
        <r>
          <rPr>
            <sz val="10"/>
            <rFont val="Arial"/>
            <family val="2"/>
          </rPr>
          <t xml:space="preserve">Fuente: Tabla de paquetes de personal suministrada por el usuario. Fecha: 5 de septiembre de 2026. Fila 2,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3" authorId="0">
      <text>
        <r>
          <rPr>
            <sz val="10"/>
            <rFont val="Arial"/>
            <family val="2"/>
          </rPr>
          <t xml:space="preserve">Fuente: Tabla de paquetes de personal suministrada por el usuario. Fecha: 5 de septiembre de 2026. Fila 3,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4" authorId="0">
      <text>
        <r>
          <rPr>
            <sz val="10"/>
            <rFont val="Arial"/>
            <family val="2"/>
          </rPr>
          <t xml:space="preserve">Fuente: Tabla de paquetes de personal suministrada por el usuario. Fecha: 5 de septiembre de 2026. Fila 4,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5" authorId="0">
      <text>
        <r>
          <rPr>
            <sz val="10"/>
            <rFont val="Arial"/>
            <family val="2"/>
          </rPr>
          <t xml:space="preserve">Fuente: Tabla de paquetes de personal suministrada por el usuario. Fecha: 5 de septiembre de 2026. Fila 5,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6" authorId="0">
      <text>
        <r>
          <rPr>
            <sz val="10"/>
            <rFont val="Arial"/>
            <family val="2"/>
          </rPr>
          <t xml:space="preserve">Fuente: Tabla de paquetes de personal suministrada por el usuario. Fecha: 5 de septiembre de 2026. Fila 6,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7" authorId="0">
      <text>
        <r>
          <rPr>
            <sz val="10"/>
            <rFont val="Arial"/>
            <family val="2"/>
          </rPr>
          <t xml:space="preserve">Fuente: Tabla de paquetes de personal suministrada por el usuario. Fecha: 5 de septiembre de 2026. Fila 7,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8" authorId="0">
      <text>
        <r>
          <rPr>
            <sz val="10"/>
            <rFont val="Arial"/>
            <family val="2"/>
          </rPr>
          <t xml:space="preserve">Fuente: Tabla de paquetes de personal suministrada por el usuario. Fecha: 5 de septiembre de 2026. Fila 8,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9" authorId="0">
      <text>
        <r>
          <rPr>
            <sz val="10"/>
            <rFont val="Arial"/>
            <family val="2"/>
          </rPr>
          <t xml:space="preserve">Fuente: Tabla de paquetes de personal suministrada por el usuario. Fecha: 5 de septiembre de 2026. Fila 9,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1" authorId="0">
      <text>
        <r>
          <rPr>
            <sz val="10"/>
            <rFont val="Arial"/>
            <family val="2"/>
          </rPr>
          <t xml:space="preserve">Fuente: Tabla de paquetes de personal suministrada por el usuario. Fecha: 5 de septiembre de 2026. Fila 1,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2" authorId="0">
      <text>
        <r>
          <rPr>
            <sz val="10"/>
            <rFont val="Arial"/>
            <family val="2"/>
          </rPr>
          <t xml:space="preserve">Fuente: Tabla de paquetes de personal suministrada por el usuario. Fecha: 5 de septiembre de 2026. Fila 2,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3" authorId="0">
      <text>
        <r>
          <rPr>
            <sz val="10"/>
            <rFont val="Arial"/>
            <family val="2"/>
          </rPr>
          <t xml:space="preserve">Fuente: Tabla de paquetes de personal suministrada por el usuario. Fecha: 5 de septiembre de 2026. Fila 3,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4" authorId="0">
      <text>
        <r>
          <rPr>
            <sz val="10"/>
            <rFont val="Arial"/>
            <family val="2"/>
          </rPr>
          <t xml:space="preserve">Fuente: Tabla de paquetes de personal suministrada por el usuario. Fecha: 5 de septiembre de 2026. Fila 4,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5" authorId="0">
      <text>
        <r>
          <rPr>
            <sz val="10"/>
            <rFont val="Arial"/>
            <family val="2"/>
          </rPr>
          <t xml:space="preserve">Fuente: Tabla de paquetes de personal suministrada por el usuario. Fecha: 5 de septiembre de 2026. Fila 5,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6" authorId="0">
      <text>
        <r>
          <rPr>
            <sz val="10"/>
            <rFont val="Arial"/>
            <family val="2"/>
          </rPr>
          <t xml:space="preserve">Fuente: Tabla de paquetes de personal suministrada por el usuario. Fecha: 5 de septiembre de 2026. Fila 6,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7" authorId="0">
      <text>
        <r>
          <rPr>
            <sz val="10"/>
            <rFont val="Arial"/>
            <family val="2"/>
          </rPr>
          <t xml:space="preserve">Fuente: Tabla de paquetes de personal suministrada por el usuario. Fecha: 5 de septiembre de 2026. Fila 7,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8" authorId="0">
      <text>
        <r>
          <rPr>
            <sz val="10"/>
            <rFont val="Arial"/>
            <family val="2"/>
          </rPr>
          <t xml:space="preserve">Fuente: Tabla de paquetes de personal suministrada por el usuario. Fecha: 5 de septiembre de 2026. Fila 8,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9" authorId="0">
      <text>
        <r>
          <rPr>
            <sz val="10"/>
            <rFont val="Arial"/>
            <family val="2"/>
          </rPr>
          <t xml:space="preserve">Fuente: Tabla de paquetes de personal suministrada por el usuario. Fecha: 5 de septiembre de 2026. Fila 9,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1" authorId="0">
      <text>
        <r>
          <rPr>
            <sz val="10"/>
            <rFont val="Arial"/>
            <family val="2"/>
          </rPr>
          <t xml:space="preserve">Fuente: Tabla de paquetes de personal suministrada por el usuario. Fecha: 5 de septiembre de 2026. Fila 1,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2" authorId="0">
      <text>
        <r>
          <rPr>
            <sz val="10"/>
            <rFont val="Arial"/>
            <family val="2"/>
          </rPr>
          <t xml:space="preserve">Fuente: Tabla de paquetes de personal suministrada por el usuario. Fecha: 5 de septiembre de 2026. Fila 2,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3" authorId="0">
      <text>
        <r>
          <rPr>
            <sz val="10"/>
            <rFont val="Arial"/>
            <family val="2"/>
          </rPr>
          <t xml:space="preserve">Fuente: Tabla de paquetes de personal suministrada por el usuario. Fecha: 5 de septiembre de 2026. Fila 3,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4" authorId="0">
      <text>
        <r>
          <rPr>
            <sz val="10"/>
            <rFont val="Arial"/>
            <family val="2"/>
          </rPr>
          <t xml:space="preserve">Fuente: Tabla de paquetes de personal suministrada por el usuario. Fecha: 5 de septiembre de 2026. Fila 4,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5" authorId="0">
      <text>
        <r>
          <rPr>
            <sz val="10"/>
            <rFont val="Arial"/>
            <family val="2"/>
          </rPr>
          <t xml:space="preserve">Fuente: Tabla de paquetes de personal suministrada por el usuario. Fecha: 5 de septiembre de 2026. Fila 5,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6" authorId="0">
      <text>
        <r>
          <rPr>
            <sz val="10"/>
            <rFont val="Arial"/>
            <family val="2"/>
          </rPr>
          <t xml:space="preserve">Fuente: Tabla de paquetes de personal suministrada por el usuario. Fecha: 5 de septiembre de 2026. Fila 6,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7" authorId="0">
      <text>
        <r>
          <rPr>
            <sz val="10"/>
            <rFont val="Arial"/>
            <family val="2"/>
          </rPr>
          <t xml:space="preserve">Fuente: Tabla de paquetes de personal suministrada por el usuario. Fecha: 5 de septiembre de 2026. Fila 7,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8" authorId="0">
      <text>
        <r>
          <rPr>
            <sz val="10"/>
            <rFont val="Arial"/>
            <family val="2"/>
          </rPr>
          <t xml:space="preserve">Fuente: Tabla de paquetes de personal suministrada por el usuario. Fecha: 5 de septiembre de 2026. Fila 8,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9" authorId="0">
      <text>
        <r>
          <rPr>
            <sz val="10"/>
            <rFont val="Arial"/>
            <family val="2"/>
          </rPr>
          <t xml:space="preserve">Fuente: Tabla de paquetes de personal suministrada por el usuario. Fecha: 5 de septiembre de 2026. Fila 9,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G11" authorId="0">
      <text>
        <r>
          <rPr>
            <sz val="10"/>
            <rFont val="Arial"/>
            <family val="2"/>
          </rPr>
          <t xml:space="preserve">Fuente: Tabla de paquetes de personal suministrada por el usuario. Fecha: 5 de septiembre de 2026. Fila 1,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2" authorId="0">
      <text>
        <r>
          <rPr>
            <sz val="10"/>
            <rFont val="Arial"/>
            <family val="2"/>
          </rPr>
          <t xml:space="preserve">Fuente: Tabla de paquetes de personal suministrada por el usuario. Fecha: 5 de septiembre de 2026. Fila 2,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3" authorId="0">
      <text>
        <r>
          <rPr>
            <sz val="10"/>
            <rFont val="Arial"/>
            <family val="2"/>
          </rPr>
          <t xml:space="preserve">Fuente: Tabla de paquetes de personal suministrada por el usuario. Fecha: 5 de septiembre de 2026. Fila 3,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4" authorId="0">
      <text>
        <r>
          <rPr>
            <sz val="10"/>
            <rFont val="Arial"/>
            <family val="2"/>
          </rPr>
          <t xml:space="preserve">Fuente: Tabla de paquetes de personal suministrada por el usuario. Fecha: 5 de septiembre de 2026. Fila 4,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5" authorId="0">
      <text>
        <r>
          <rPr>
            <sz val="10"/>
            <rFont val="Arial"/>
            <family val="2"/>
          </rPr>
          <t xml:space="preserve">Fuente: Tabla de paquetes de personal suministrada por el usuario. Fecha: 5 de septiembre de 2026. Fila 5,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6" authorId="0">
      <text>
        <r>
          <rPr>
            <sz val="10"/>
            <rFont val="Arial"/>
            <family val="2"/>
          </rPr>
          <t xml:space="preserve">Fuente: Tabla de paquetes de personal suministrada por el usuario. Fecha: 5 de septiembre de 2026. Fila 6,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7" authorId="0">
      <text>
        <r>
          <rPr>
            <sz val="10"/>
            <rFont val="Arial"/>
            <family val="2"/>
          </rPr>
          <t xml:space="preserve">Fuente: Tabla de paquetes de personal suministrada por el usuario. Fecha: 5 de septiembre de 2026. Fila 7,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8" authorId="0">
      <text>
        <r>
          <rPr>
            <sz val="10"/>
            <rFont val="Arial"/>
            <family val="2"/>
          </rPr>
          <t xml:space="preserve">Fuente: Tabla de paquetes de personal suministrada por el usuario. Fecha: 5 de septiembre de 2026. Fila 8,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9" authorId="0">
      <text>
        <r>
          <rPr>
            <sz val="10"/>
            <rFont val="Arial"/>
            <family val="2"/>
          </rPr>
          <t xml:space="preserve">Fuente: Tabla de paquetes de personal suministrada por el usuario. Fecha: 5 de septiembre de 2026. Fila 9,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1" authorId="0">
      <text>
        <r>
          <rPr>
            <sz val="10"/>
            <rFont val="Arial"/>
            <family val="2"/>
          </rPr>
          <t xml:space="preserve">Fuente: Tabla de paquetes de personal suministrada por el usuario. Fecha: 5 de septiembre de 2026. Fila 1,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2" authorId="0">
      <text>
        <r>
          <rPr>
            <sz val="10"/>
            <rFont val="Arial"/>
            <family val="2"/>
          </rPr>
          <t xml:space="preserve">Fuente: Tabla de paquetes de personal suministrada por el usuario. Fecha: 5 de septiembre de 2026. Fila 2,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3" authorId="0">
      <text>
        <r>
          <rPr>
            <sz val="10"/>
            <rFont val="Arial"/>
            <family val="2"/>
          </rPr>
          <t xml:space="preserve">Fuente: Tabla de paquetes de personal suministrada por el usuario. Fecha: 5 de septiembre de 2026. Fila 3,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4" authorId="0">
      <text>
        <r>
          <rPr>
            <sz val="10"/>
            <rFont val="Arial"/>
            <family val="2"/>
          </rPr>
          <t xml:space="preserve">Fuente: Tabla de paquetes de personal suministrada por el usuario. Fecha: 5 de septiembre de 2026. Fila 4,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5" authorId="0">
      <text>
        <r>
          <rPr>
            <sz val="10"/>
            <rFont val="Arial"/>
            <family val="2"/>
          </rPr>
          <t xml:space="preserve">Fuente: Tabla de paquetes de personal suministrada por el usuario. Fecha: 5 de septiembre de 2026. Fila 5,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6" authorId="0">
      <text>
        <r>
          <rPr>
            <sz val="10"/>
            <rFont val="Arial"/>
            <family val="2"/>
          </rPr>
          <t xml:space="preserve">Fuente: Tabla de paquetes de personal suministrada por el usuario. Fecha: 5 de septiembre de 2026. Fila 6,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7" authorId="0">
      <text>
        <r>
          <rPr>
            <sz val="10"/>
            <rFont val="Arial"/>
            <family val="2"/>
          </rPr>
          <t xml:space="preserve">Fuente: Tabla de paquetes de personal suministrada por el usuario. Fecha: 5 de septiembre de 2026. Fila 7,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8" authorId="0">
      <text>
        <r>
          <rPr>
            <sz val="10"/>
            <rFont val="Arial"/>
            <family val="2"/>
          </rPr>
          <t xml:space="preserve">Fuente: Tabla de paquetes de personal suministrada por el usuario. Fecha: 5 de septiembre de 2026. Fila 8,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9" authorId="0">
      <text>
        <r>
          <rPr>
            <sz val="10"/>
            <rFont val="Arial"/>
            <family val="2"/>
          </rPr>
          <t xml:space="preserve">Fuente: Tabla de paquetes de personal suministrada por el usuario. Fecha: 5 de septiembre de 2026. Fila 9,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1" authorId="0">
      <text>
        <r>
          <rPr>
            <sz val="10"/>
            <rFont val="Arial"/>
            <family val="2"/>
          </rPr>
          <t xml:space="preserve">Fuente: Tabla de paquetes de personal suministrada por el usuario. Fecha: 5 de septiembre de 2026. Fila 1,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2" authorId="0">
      <text>
        <r>
          <rPr>
            <sz val="10"/>
            <rFont val="Arial"/>
            <family val="2"/>
          </rPr>
          <t xml:space="preserve">Fuente: Tabla de paquetes de personal suministrada por el usuario. Fecha: 5 de septiembre de 2026. Fila 2,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3" authorId="0">
      <text>
        <r>
          <rPr>
            <sz val="10"/>
            <rFont val="Arial"/>
            <family val="2"/>
          </rPr>
          <t xml:space="preserve">Fuente: Tabla de paquetes de personal suministrada por el usuario. Fecha: 5 de septiembre de 2026. Fila 3,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4" authorId="0">
      <text>
        <r>
          <rPr>
            <sz val="10"/>
            <rFont val="Arial"/>
            <family val="2"/>
          </rPr>
          <t xml:space="preserve">Fuente: Tabla de paquetes de personal suministrada por el usuario. Fecha: 5 de septiembre de 2026. Fila 4,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5" authorId="0">
      <text>
        <r>
          <rPr>
            <sz val="10"/>
            <rFont val="Arial"/>
            <family val="2"/>
          </rPr>
          <t xml:space="preserve">Fuente: Tabla de paquetes de personal suministrada por el usuario. Fecha: 5 de septiembre de 2026. Fila 5,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6" authorId="0">
      <text>
        <r>
          <rPr>
            <sz val="10"/>
            <rFont val="Arial"/>
            <family val="2"/>
          </rPr>
          <t xml:space="preserve">Fuente: Tabla de paquetes de personal suministrada por el usuario. Fecha: 5 de septiembre de 2026. Fila 6,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7" authorId="0">
      <text>
        <r>
          <rPr>
            <sz val="10"/>
            <rFont val="Arial"/>
            <family val="2"/>
          </rPr>
          <t xml:space="preserve">Fuente: Tabla de paquetes de personal suministrada por el usuario. Fecha: 5 de septiembre de 2026. Fila 7,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8" authorId="0">
      <text>
        <r>
          <rPr>
            <sz val="10"/>
            <rFont val="Arial"/>
            <family val="2"/>
          </rPr>
          <t xml:space="preserve">Fuente: Tabla de paquetes de personal suministrada por el usuario. Fecha: 5 de septiembre de 2026. Fila 8,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9" authorId="0">
      <text>
        <r>
          <rPr>
            <sz val="10"/>
            <rFont val="Arial"/>
            <family val="2"/>
          </rPr>
          <t xml:space="preserve">Fuente: Tabla de paquetes de personal suministrada por el usuario. Fecha: 5 de septiembre de 2026. Fila 9,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J11" authorId="0">
      <text>
        <r>
          <rPr>
            <sz val="10"/>
            <rFont val="Arial"/>
            <family val="2"/>
          </rPr>
          <t xml:space="preserve">Fuente: Tabla de paquetes de personal suministrada por el usuario. Fecha: 5 de septiembre de 2026. Fila 1,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2" authorId="0">
      <text>
        <r>
          <rPr>
            <sz val="10"/>
            <rFont val="Arial"/>
            <family val="2"/>
          </rPr>
          <t xml:space="preserve">Fuente: Tabla de paquetes de personal suministrada por el usuario. Fecha: 5 de septiembre de 2026. Fila 2,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3" authorId="0">
      <text>
        <r>
          <rPr>
            <sz val="10"/>
            <rFont val="Arial"/>
            <family val="2"/>
          </rPr>
          <t xml:space="preserve">Fuente: Tabla de paquetes de personal suministrada por el usuario. Fecha: 5 de septiembre de 2026. Fila 3,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4" authorId="0">
      <text>
        <r>
          <rPr>
            <sz val="10"/>
            <rFont val="Arial"/>
            <family val="2"/>
          </rPr>
          <t xml:space="preserve">Fuente: Tabla de paquetes de personal suministrada por el usuario. Fecha: 5 de septiembre de 2026. Fila 4,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5" authorId="0">
      <text>
        <r>
          <rPr>
            <sz val="10"/>
            <rFont val="Arial"/>
            <family val="2"/>
          </rPr>
          <t xml:space="preserve">Fuente: Tabla de paquetes de personal suministrada por el usuario. Fecha: 5 de septiembre de 2026. Fila 5,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6" authorId="0">
      <text>
        <r>
          <rPr>
            <sz val="10"/>
            <rFont val="Arial"/>
            <family val="2"/>
          </rPr>
          <t xml:space="preserve">Fuente: Tabla de paquetes de personal suministrada por el usuario. Fecha: 5 de septiembre de 2026. Fila 6,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7" authorId="0">
      <text>
        <r>
          <rPr>
            <sz val="10"/>
            <rFont val="Arial"/>
            <family val="2"/>
          </rPr>
          <t xml:space="preserve">Fuente: Tabla de paquetes de personal suministrada por el usuario. Fecha: 5 de septiembre de 2026. Fila 7,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8" authorId="0">
      <text>
        <r>
          <rPr>
            <sz val="10"/>
            <rFont val="Arial"/>
            <family val="2"/>
          </rPr>
          <t xml:space="preserve">Fuente: Tabla de paquetes de personal suministrada por el usuario. Fecha: 5 de septiembre de 2026. Fila 8,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9" authorId="0">
      <text>
        <r>
          <rPr>
            <sz val="10"/>
            <rFont val="Arial"/>
            <family val="2"/>
          </rPr>
          <t xml:space="preserve">Fuente: Tabla de paquetes de personal suministrada por el usuario. Fecha: 5 de septiembre de 2026. Fila 9,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1" authorId="0">
      <text>
        <r>
          <rPr>
            <sz val="10"/>
            <rFont val="Arial"/>
            <family val="2"/>
          </rPr>
          <t xml:space="preserve">Fuente: Tabla de paquetes de personal suministrada por el usuario. Fecha: 5 de septiembre de 2026. Fila 1,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2" authorId="0">
      <text>
        <r>
          <rPr>
            <sz val="10"/>
            <rFont val="Arial"/>
            <family val="2"/>
          </rPr>
          <t xml:space="preserve">Fuente: Tabla de paquetes de personal suministrada por el usuario. Fecha: 5 de septiembre de 2026. Fila 2,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3" authorId="0">
      <text>
        <r>
          <rPr>
            <sz val="10"/>
            <rFont val="Arial"/>
            <family val="2"/>
          </rPr>
          <t xml:space="preserve">Fuente: Tabla de paquetes de personal suministrada por el usuario. Fecha: 5 de septiembre de 2026. Fila 3,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4" authorId="0">
      <text>
        <r>
          <rPr>
            <sz val="10"/>
            <rFont val="Arial"/>
            <family val="2"/>
          </rPr>
          <t xml:space="preserve">Fuente: Tabla de paquetes de personal suministrada por el usuario. Fecha: 5 de septiembre de 2026. Fila 4,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5" authorId="0">
      <text>
        <r>
          <rPr>
            <sz val="10"/>
            <rFont val="Arial"/>
            <family val="2"/>
          </rPr>
          <t xml:space="preserve">Fuente: Tabla de paquetes de personal suministrada por el usuario. Fecha: 5 de septiembre de 2026. Fila 5,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6" authorId="0">
      <text>
        <r>
          <rPr>
            <sz val="10"/>
            <rFont val="Arial"/>
            <family val="2"/>
          </rPr>
          <t xml:space="preserve">Fuente: Tabla de paquetes de personal suministrada por el usuario. Fecha: 5 de septiembre de 2026. Fila 6,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7" authorId="0">
      <text>
        <r>
          <rPr>
            <sz val="10"/>
            <rFont val="Arial"/>
            <family val="2"/>
          </rPr>
          <t xml:space="preserve">Fuente: Tabla de paquetes de personal suministrada por el usuario. Fecha: 5 de septiembre de 2026. Fila 7,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8" authorId="0">
      <text>
        <r>
          <rPr>
            <sz val="10"/>
            <rFont val="Arial"/>
            <family val="2"/>
          </rPr>
          <t xml:space="preserve">Fuente: Tabla de paquetes de personal suministrada por el usuario. Fecha: 5 de septiembre de 2026. Fila 8,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9" authorId="0">
      <text>
        <r>
          <rPr>
            <sz val="10"/>
            <rFont val="Arial"/>
            <family val="2"/>
          </rPr>
          <t xml:space="preserve">Fuente: Tabla de paquetes de personal suministrada por el usuario. Fecha: 5 de septiembre de 2026. Fila 9,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M11" authorId="0">
      <text>
        <r>
          <rPr>
            <sz val="10"/>
            <rFont val="Arial"/>
            <family val="2"/>
          </rPr>
          <t xml:space="preserve">Fuente: Tabla de paquetes de personal suministrada por el usuario. Fecha: 5 de septiembre de 2026. Fila 1,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2" authorId="0">
      <text>
        <r>
          <rPr>
            <sz val="10"/>
            <rFont val="Arial"/>
            <family val="2"/>
          </rPr>
          <t xml:space="preserve">Fuente: Tabla de paquetes de personal suministrada por el usuario. Fecha: 5 de septiembre de 2026. Fila 2,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3" authorId="0">
      <text>
        <r>
          <rPr>
            <sz val="10"/>
            <rFont val="Arial"/>
            <family val="2"/>
          </rPr>
          <t xml:space="preserve">Fuente: Tabla de paquetes de personal suministrada por el usuario. Fecha: 5 de septiembre de 2026. Fila 3,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4" authorId="0">
      <text>
        <r>
          <rPr>
            <sz val="10"/>
            <rFont val="Arial"/>
            <family val="2"/>
          </rPr>
          <t xml:space="preserve">Fuente: Tabla de paquetes de personal suministrada por el usuario. Fecha: 5 de septiembre de 2026. Fila 4,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5" authorId="0">
      <text>
        <r>
          <rPr>
            <sz val="10"/>
            <rFont val="Arial"/>
            <family val="2"/>
          </rPr>
          <t xml:space="preserve">Fuente: Tabla de paquetes de personal suministrada por el usuario. Fecha: 5 de septiembre de 2026. Fila 5,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6" authorId="0">
      <text>
        <r>
          <rPr>
            <sz val="10"/>
            <rFont val="Arial"/>
            <family val="2"/>
          </rPr>
          <t xml:space="preserve">Fuente: Tabla de paquetes de personal suministrada por el usuario. Fecha: 5 de septiembre de 2026. Fila 6,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7" authorId="0">
      <text>
        <r>
          <rPr>
            <sz val="10"/>
            <rFont val="Arial"/>
            <family val="2"/>
          </rPr>
          <t xml:space="preserve">Fuente: Tabla de paquetes de personal suministrada por el usuario. Fecha: 5 de septiembre de 2026. Fila 7,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8" authorId="0">
      <text>
        <r>
          <rPr>
            <sz val="10"/>
            <rFont val="Arial"/>
            <family val="2"/>
          </rPr>
          <t xml:space="preserve">Fuente: Tabla de paquetes de personal suministrada por el usuario. Fecha: 5 de septiembre de 2026. Fila 8,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9" authorId="0">
      <text>
        <r>
          <rPr>
            <sz val="10"/>
            <rFont val="Arial"/>
            <family val="2"/>
          </rPr>
          <t xml:space="preserve">Fuente: Tabla de paquetes de personal suministrada por el usuario. Fecha: 5 de septiembre de 2026. Fila 9,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V11"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2"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3"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4"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5"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6"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7"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8"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9"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W11"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2"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3"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4"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5"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6"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7"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8"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9"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X11"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2"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3"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4"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5"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6"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7"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8"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9"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Z11"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2"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3"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4"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5"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6"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7"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8"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9"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List>
</comments>
</file>

<file path=xl/sharedStrings.xml><?xml version="1.0" encoding="utf-8"?>
<sst xmlns="http://schemas.openxmlformats.org/spreadsheetml/2006/main" count="244" uniqueCount="182">
  <si>
    <t xml:space="preserve">Resumen ejecutivo — Paquetes de personal</t>
  </si>
  <si>
    <t xml:space="preserve">Presupuesto por persona en dos etapas y escenarios de decisión desde el mes 7</t>
  </si>
  <si>
    <t xml:space="preserve">USD | Escenarios de repatriación excluyen costos únicos de transición hasta recibir cotizaciones</t>
  </si>
  <si>
    <t xml:space="preserve">INDICADORES DEL ESCENARIO SELECCIONADO</t>
  </si>
  <si>
    <t xml:space="preserve">Indicador</t>
  </si>
  <si>
    <t xml:space="preserve">Valor</t>
  </si>
  <si>
    <t xml:space="preserve">Interpretación</t>
  </si>
  <si>
    <t xml:space="preserve">Fuente</t>
  </si>
  <si>
    <t xml:space="preserve">Estado</t>
  </si>
  <si>
    <t xml:space="preserve">Costo anual original</t>
  </si>
  <si>
    <t xml:space="preserve">Paquete anual fuente para 9 posiciones</t>
  </si>
  <si>
    <t xml:space="preserve">Tabla suministrada</t>
  </si>
  <si>
    <t xml:space="preserve">Referencia</t>
  </si>
  <si>
    <t xml:space="preserve">Etapa 1 — Consultor M1–M6</t>
  </si>
  <si>
    <t xml:space="preserve">Todos los componentes no fiscales prorrateados por seis meses</t>
  </si>
  <si>
    <t xml:space="preserve">Modelo</t>
  </si>
  <si>
    <t xml:space="preserve">Calculado</t>
  </si>
  <si>
    <t xml:space="preserve">Etapa 2 — Selección M7–M12</t>
  </si>
  <si>
    <t xml:space="preserve">Paquete y ciudad elegidos por persona, más costos únicos</t>
  </si>
  <si>
    <t xml:space="preserve">Pendiente de decisiones</t>
  </si>
  <si>
    <t xml:space="preserve">Costo total Año 1</t>
  </si>
  <si>
    <t xml:space="preserve">Etapa 1 + etapa 2 seleccionada</t>
  </si>
  <si>
    <t xml:space="preserve">Ahorro / (sobrecosto) vs. fuente</t>
  </si>
  <si>
    <t xml:space="preserve">Costo anual original menos Año 1 seleccionado</t>
  </si>
  <si>
    <t xml:space="preserve">Run-rate anual desde M13</t>
  </si>
  <si>
    <t xml:space="preserve">Costo anual recurrente posterior a la transición</t>
  </si>
  <si>
    <t xml:space="preserve">Personas con decisión pendiente</t>
  </si>
  <si>
    <t xml:space="preserve">Requieren paquete, ciudad o vivienda</t>
  </si>
  <si>
    <t xml:space="preserve">Acción requerida</t>
  </si>
  <si>
    <t xml:space="preserve">COMPARACIÓN DE ESCENARIOS — 9 POSICIONES</t>
  </si>
  <si>
    <t xml:space="preserve">Escenario</t>
  </si>
  <si>
    <t xml:space="preserve">Etapa 1 M1–M6</t>
  </si>
  <si>
    <t xml:space="preserve">Etapa 2 M7–M12</t>
  </si>
  <si>
    <t xml:space="preserve">Costo Año 1</t>
  </si>
  <si>
    <t xml:space="preserve">Ahorro vs. fuente</t>
  </si>
  <si>
    <t xml:space="preserve">Run-rate M13+</t>
  </si>
  <si>
    <t xml:space="preserve">Selección actual por persona</t>
  </si>
  <si>
    <t xml:space="preserve">Todos expatriados</t>
  </si>
  <si>
    <t xml:space="preserve">Todos repatriados — con housing</t>
  </si>
  <si>
    <t xml:space="preserve">Todos repatriados — sin housing</t>
  </si>
  <si>
    <t xml:space="preserve">DETALLE EJECUTIVO POR PERSONA</t>
  </si>
  <si>
    <t xml:space="preserve">Person</t>
  </si>
  <si>
    <t xml:space="preserve">Position</t>
  </si>
  <si>
    <t xml:space="preserve">Package M7+</t>
  </si>
  <si>
    <t xml:space="preserve">City</t>
  </si>
  <si>
    <t xml:space="preserve">Stage 1</t>
  </si>
  <si>
    <t xml:space="preserve">Stage 2</t>
  </si>
  <si>
    <t xml:space="preserve">Year 1</t>
  </si>
  <si>
    <t xml:space="preserve">DECISIONES NECESARIAS</t>
  </si>
  <si>
    <t xml:space="preserve">1. Designar por persona si desde el mes 7 será Repatriado o Expatriado.</t>
  </si>
  <si>
    <t xml:space="preserve">2. Confirmar ciudad de residencia: Caracas, Maracaibo u otra.</t>
  </si>
  <si>
    <t xml:space="preserve">3. Validar la política inicial: Caracas con housing; Maracaibo sin housing para repatriados.</t>
  </si>
  <si>
    <t xml:space="preserve">4. Incorporar costos únicos cotizados: viaje, mudanza, permisos, asesoría, alojamiento temporal y settling-in.</t>
  </si>
  <si>
    <t xml:space="preserve">5. Obtener dictamen escrito de inmigración, laboral y fiscal antes de implementar la etapa de consultoría.</t>
  </si>
  <si>
    <t xml:space="preserve">Supuestos y política de paquetes</t>
  </si>
  <si>
    <t xml:space="preserve">Variables editables para el modelo de compensación en dos etapas</t>
  </si>
  <si>
    <t xml:space="preserve">USD, salvo indicación contraria | Celdas azules = entradas editables</t>
  </si>
  <si>
    <t xml:space="preserve">SUPUESTOS DE DURACIÓN Y FISCALIDAD</t>
  </si>
  <si>
    <t xml:space="preserve">Meses de la etapa 1 — Consultor</t>
  </si>
  <si>
    <t xml:space="preserve">Meses de la etapa 2 — Repatriado / Expatriado</t>
  </si>
  <si>
    <t xml:space="preserve">Factor de Tax &amp; Social en la etapa 1</t>
  </si>
  <si>
    <t xml:space="preserve">POLÍTICA AUTOMÁTICA DE VIVIENDA POR CIUDAD</t>
  </si>
  <si>
    <t xml:space="preserve">Ciudad</t>
  </si>
  <si>
    <t xml:space="preserve">Housing automático</t>
  </si>
  <si>
    <t xml:space="preserve">Racional presupuestario</t>
  </si>
  <si>
    <t xml:space="preserve">Editable</t>
  </si>
  <si>
    <t xml:space="preserve">Caracas</t>
  </si>
  <si>
    <t xml:space="preserve">Sí</t>
  </si>
  <si>
    <t xml:space="preserve">Se presupone allowance si la persona debe residir en Caracas.</t>
  </si>
  <si>
    <t xml:space="preserve">Maracaibo</t>
  </si>
  <si>
    <t xml:space="preserve">No</t>
  </si>
  <si>
    <t xml:space="preserve">Se presupone sin allowance para repatriados radicados en Maracaibo.</t>
  </si>
  <si>
    <t xml:space="preserve">Otro</t>
  </si>
  <si>
    <t xml:space="preserve">Enfoque conservador hasta confirmar alojamiento.</t>
  </si>
  <si>
    <t xml:space="preserve">Por definir</t>
  </si>
  <si>
    <t xml:space="preserve">El cálculo conservador incluye vivienda si el paquete es repatriado.</t>
  </si>
  <si>
    <t xml:space="preserve">COMPONENTES DE CADA PAQUETE</t>
  </si>
  <si>
    <t xml:space="preserve">Componente</t>
  </si>
  <si>
    <t xml:space="preserve">Consultor M1–M6</t>
  </si>
  <si>
    <t xml:space="preserve">Repatriado M7+</t>
  </si>
  <si>
    <t xml:space="preserve">Expatriado M7+</t>
  </si>
  <si>
    <t xml:space="preserve">Criterio</t>
  </si>
  <si>
    <t xml:space="preserve">Observación</t>
  </si>
  <si>
    <t xml:space="preserve">Compensación base</t>
  </si>
  <si>
    <t xml:space="preserve">Sí — honorario prorrateado</t>
  </si>
  <si>
    <t xml:space="preserve">Sí — salario local</t>
  </si>
  <si>
    <t xml:space="preserve">Sí — salario base</t>
  </si>
  <si>
    <t xml:space="preserve">Valor fuente por persona</t>
  </si>
  <si>
    <t xml:space="preserve">El modelo usa 6/12 del importe anual en cada etapa.</t>
  </si>
  <si>
    <t xml:space="preserve">Housing</t>
  </si>
  <si>
    <t xml:space="preserve">Condicional por ciudad / override</t>
  </si>
  <si>
    <t xml:space="preserve">Caracas = Sí y Maracaibo = No como política inicial editable.</t>
  </si>
  <si>
    <t xml:space="preserve">Seguro médico</t>
  </si>
  <si>
    <t xml:space="preserve">Prorrateado por meses.</t>
  </si>
  <si>
    <t xml:space="preserve">Home leave</t>
  </si>
  <si>
    <t xml:space="preserve">Se elimina en el paquete de repatriado.</t>
  </si>
  <si>
    <t xml:space="preserve">Vehículo</t>
  </si>
  <si>
    <t xml:space="preserve">Tax &amp; Social</t>
  </si>
  <si>
    <t xml:space="preserve">M1–M6 usa factor 0%; M7+ conserva el valor anual prorrateado.</t>
  </si>
  <si>
    <t xml:space="preserve">Costos únicos de transición</t>
  </si>
  <si>
    <t xml:space="preserve">No incluidos</t>
  </si>
  <si>
    <t xml:space="preserve">Entrada individual</t>
  </si>
  <si>
    <t xml:space="preserve">Cotizaciones pendientes</t>
  </si>
  <si>
    <t xml:space="preserve">El modelo parte de $0 hasta recibir presupuestos de viaje, mudanza, permisos y alojamiento temporal.</t>
  </si>
  <si>
    <t xml:space="preserve">ADVERTENCIA DE CUMPLIMIENTO</t>
  </si>
  <si>
    <t xml:space="preserve">El tratamiento de los meses 1–6 como consultoría sin Tax &amp; Social venezolano es un supuesto presupuestario indicado por la gerencia, no una conclusión jurídica. La condición migratoria de turista no acredita por sí sola autorización para trabajar ni exención fiscal. Antes de implementar el esquema, se requiere validación escrita de asesores venezolanos de inmigración, derecho laboral, nómina y tributos.</t>
  </si>
  <si>
    <t xml:space="preserve">Modelo de paquetes por persona</t>
  </si>
  <si>
    <t xml:space="preserve">Etapa 1: seis meses como consultor | Etapa 2: repatriado o expatriado desde el mes 7</t>
  </si>
  <si>
    <t xml:space="preserve">USD | Celdas azules = datos fuente o decisiones editables; fórmulas verdes = vínculos a Supuestos</t>
  </si>
  <si>
    <t xml:space="preserve">BASE DE COMPENSACIÓN Y CÁLCULO POR PERSONA</t>
  </si>
  <si>
    <t xml:space="preserve">#</t>
  </si>
  <si>
    <t xml:space="preserve">Base Salary
Annual</t>
  </si>
  <si>
    <t xml:space="preserve">Housing
Annual</t>
  </si>
  <si>
    <t xml:space="preserve">Medical
Annual</t>
  </si>
  <si>
    <t xml:space="preserve">Home Leave
Annual</t>
  </si>
  <si>
    <t xml:space="preserve">Vehicle
Annual</t>
  </si>
  <si>
    <t xml:space="preserve">Tax &amp; Social
Annual</t>
  </si>
  <si>
    <t xml:space="preserve">Calculated
Annual</t>
  </si>
  <si>
    <t xml:space="preserve">Stated
Annual</t>
  </si>
  <si>
    <t xml:space="preserve">Variance</t>
  </si>
  <si>
    <t xml:space="preserve">Consulting Fee
M1–M6</t>
  </si>
  <si>
    <t xml:space="preserve">Housing
M1–M6</t>
  </si>
  <si>
    <t xml:space="preserve">Medical
M1–M6</t>
  </si>
  <si>
    <t xml:space="preserve">Home Leave
M1–M6</t>
  </si>
  <si>
    <t xml:space="preserve">Vehicle
M1–M6</t>
  </si>
  <si>
    <t xml:space="preserve">Tax &amp; Social
M1–M6</t>
  </si>
  <si>
    <t xml:space="preserve">Stage 1
Total</t>
  </si>
  <si>
    <t xml:space="preserve">Package
M7+</t>
  </si>
  <si>
    <t xml:space="preserve">City
M7+</t>
  </si>
  <si>
    <t xml:space="preserve">Housing
Override</t>
  </si>
  <si>
    <t xml:space="preserve">Housing
Final</t>
  </si>
  <si>
    <t xml:space="preserve">One-time
Transition</t>
  </si>
  <si>
    <t xml:space="preserve">Stage 2 Recurring
M7–M12</t>
  </si>
  <si>
    <t xml:space="preserve">Stage 2
Total</t>
  </si>
  <si>
    <t xml:space="preserve">Year 1
Total</t>
  </si>
  <si>
    <t xml:space="preserve">Savings vs.
Source</t>
  </si>
  <si>
    <t xml:space="preserve">Annual Run-rate
M13+</t>
  </si>
  <si>
    <t xml:space="preserve">Decision
Status</t>
  </si>
  <si>
    <t xml:space="preserve">COO / PU General Manager</t>
  </si>
  <si>
    <t xml:space="preserve">Martin del Castillo</t>
  </si>
  <si>
    <t xml:space="preserve">Expatriado</t>
  </si>
  <si>
    <t xml:space="preserve">Automático</t>
  </si>
  <si>
    <t xml:space="preserve">EPCM &amp; Engineering Manager</t>
  </si>
  <si>
    <t xml:space="preserve">Juan Conde</t>
  </si>
  <si>
    <t xml:space="preserve">Drilling &amp; Well Services Manager</t>
  </si>
  <si>
    <t xml:space="preserve">Alexander Stulme</t>
  </si>
  <si>
    <t xml:space="preserve">Operations &amp; Maintenance Manager</t>
  </si>
  <si>
    <t xml:space="preserve">Félix Valderrama</t>
  </si>
  <si>
    <t xml:space="preserve">Technical Manager (Geosciences)</t>
  </si>
  <si>
    <t xml:space="preserve">Alan McKeon</t>
  </si>
  <si>
    <t xml:space="preserve">Reservoir Engineer</t>
  </si>
  <si>
    <t xml:space="preserve">JJI</t>
  </si>
  <si>
    <t xml:space="preserve">Rig Company Man</t>
  </si>
  <si>
    <t xml:space="preserve">Marcelo Dantas</t>
  </si>
  <si>
    <t xml:space="preserve">Planning &amp; PMO</t>
  </si>
  <si>
    <t xml:space="preserve">Jose Miguel</t>
  </si>
  <si>
    <t xml:space="preserve">Operations Support</t>
  </si>
  <si>
    <t xml:space="preserve">Leticia Almeida</t>
  </si>
  <si>
    <t xml:space="preserve">TOTAL — 9 POSICIONES</t>
  </si>
  <si>
    <t xml:space="preserve">Definición de los paquetes</t>
  </si>
  <si>
    <t xml:space="preserve">Alcance presupuestario, criterios de clasificación y elementos de transición</t>
  </si>
  <si>
    <t xml:space="preserve">Documento de trabajo institucional — sujeto a aprobación legal, fiscal y de Recursos Humanos</t>
  </si>
  <si>
    <t xml:space="preserve">PAQUETE CONSULTOR — MESES 1 A 6</t>
  </si>
  <si>
    <t xml:space="preserve">• Relación presupuestaria: honorario de consultoría equivalente a 6/12 del salario base anual de referencia.</t>
  </si>
  <si>
    <t xml:space="preserve">• Beneficios / reembolsos incluidos: housing, seguro médico, home leave y vehículo, todos prorrateados por seis meses.</t>
  </si>
  <si>
    <t xml:space="preserve">• Tax &amp; Social venezolano: factor 0% por instrucción gerencial. No constituye opinión jurídica ni fiscal.</t>
  </si>
  <si>
    <t xml:space="preserve">• Contrato: debe documentar entregables, facturación, moneda, reembolsos, seguros y terminación, sin crear una clasificación laboral incorrecta.</t>
  </si>
  <si>
    <t xml:space="preserve">PAQUETE REPATRIADO — DESDE EL MES 7</t>
  </si>
  <si>
    <t xml:space="preserve">• Compensación recurrente: salario base, seguro médico, vehículo y Tax &amp; Social.</t>
  </si>
  <si>
    <t xml:space="preserve">• Housing: condicional. Política inicial editable: Caracas = Sí; Maracaibo = No. Un override individual prevalece sobre la regla automática.</t>
  </si>
  <si>
    <t xml:space="preserve">• Home leave: no se incluye, porque la persona pasa a una condición local / repatriada.</t>
  </si>
  <si>
    <t xml:space="preserve">• Costos únicos: viaje de retorno, mudanza de efectos personales, permisos, asesoría, alojamiento temporal y settling-in. Se mantienen en $0 hasta contar con cotizaciones.</t>
  </si>
  <si>
    <t xml:space="preserve">• Uso recomendado: personas que pasan a nómina local venezolana o retornan permanentemente bajo condiciones locales.</t>
  </si>
  <si>
    <t xml:space="preserve">PAQUETE EXPATRIADO — DESDE EL MES 7</t>
  </si>
  <si>
    <t xml:space="preserve">• Compensación recurrente: paquete anual fuente completo prorrateado — salario base, housing, seguro médico, home leave, vehículo y Tax &amp; Social.</t>
  </si>
  <si>
    <t xml:space="preserve">• Costos únicos: incorporar, cuando correspondan, regularización migratoria, asesoría fiscal, alojamiento temporal y otros costos de movilidad no incluidos en la tabla fuente.</t>
  </si>
  <si>
    <t xml:space="preserve">• Uso recomendado: personas que conservan una asignación internacional, vínculo de empleo extranjero o política de tax equalization / gross-up.</t>
  </si>
  <si>
    <t xml:space="preserve">CRITERIOS DE DECISIÓN POR PERSONA</t>
  </si>
  <si>
    <t xml:space="preserve">• País y entidad empleadora; nacionalidad y residencia fiscal; duración esperada de la asignación; dependientes acompañantes; ciudad de residencia; disponibilidad de vivienda propia; y política corporativa aplicable.</t>
  </si>
  <si>
    <t xml:space="preserve">• La decisión no debe basarse solamente en el costo. Debe ser consistente con permisos de trabajo, nómina, seguridad social, retenciones y obligaciones de reporte.</t>
  </si>
  <si>
    <t xml:space="preserve">NOTA DE CUMPLIMIENTO</t>
  </si>
  <si>
    <t xml:space="preserve">La visa o admisión como turista normalmente no debe asumirse como autorización de trabajo. Además, la ausencia de una carga fiscal venezolana no puede determinarse únicamente por los primeros seis meses o por el estatus migratorio. El archivo es una herramienta de presupuesto: antes de contratar, movilizar o pagar, solicitar un dictamen local escrito sobre inmigración, clasificación laboral, establecimiento permanente, retenciones, impuesto sobre la renta y seguridad social.</t>
  </si>
</sst>
</file>

<file path=xl/styles.xml><?xml version="1.0" encoding="utf-8"?>
<styleSheet xmlns="http://schemas.openxmlformats.org/spreadsheetml/2006/main">
  <numFmts count="6">
    <numFmt numFmtId="164" formatCode="General"/>
    <numFmt numFmtId="165" formatCode="\$#,##0.0;&quot;($&quot;#,##0.0\);\-"/>
    <numFmt numFmtId="166" formatCode="#,##0"/>
    <numFmt numFmtId="167" formatCode="#,##0.0;\(#,##0.0\);\-"/>
    <numFmt numFmtId="168" formatCode="General"/>
    <numFmt numFmtId="169" formatCode="#,##0.0%"/>
  </numFmts>
  <fonts count="19">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000000"/>
      <name val="Arial"/>
      <family val="0"/>
      <charset val="1"/>
    </font>
    <font>
      <i val="true"/>
      <sz val="10"/>
      <color rgb="FF666666"/>
      <name val="Arial"/>
      <family val="0"/>
      <charset val="1"/>
    </font>
    <font>
      <b val="true"/>
      <sz val="10"/>
      <color rgb="FF000000"/>
      <name val="Arial"/>
      <family val="0"/>
      <charset val="1"/>
    </font>
    <font>
      <b val="true"/>
      <sz val="9"/>
      <color rgb="FFFFFFFF"/>
      <name val="Arial"/>
      <family val="0"/>
      <charset val="1"/>
    </font>
    <font>
      <b val="true"/>
      <sz val="10"/>
      <color rgb="FF008000"/>
      <name val="Arial"/>
      <family val="0"/>
      <charset val="1"/>
    </font>
    <font>
      <sz val="9"/>
      <color rgb="FF000000"/>
      <name val="Arial"/>
      <family val="0"/>
      <charset val="1"/>
    </font>
    <font>
      <sz val="10"/>
      <color rgb="FF0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color rgb="FFC00000"/>
      <name val="Arial"/>
      <family val="0"/>
      <charset val="1"/>
    </font>
    <font>
      <sz val="10"/>
      <name val="Arial"/>
      <family val="2"/>
    </font>
  </fonts>
  <fills count="4">
    <fill>
      <patternFill patternType="none"/>
    </fill>
    <fill>
      <patternFill patternType="gray125"/>
    </fill>
    <fill>
      <patternFill patternType="solid">
        <fgColor rgb="FF135B44"/>
        <bgColor rgb="FF333333"/>
      </patternFill>
    </fill>
    <fill>
      <patternFill patternType="solid">
        <fgColor rgb="FFCFE9E0"/>
        <bgColor rgb="FFD9D9D9"/>
      </patternFill>
    </fill>
  </fills>
  <borders count="7">
    <border diagonalUp="false" diagonalDown="false">
      <left/>
      <right/>
      <top/>
      <bottom/>
      <diagonal/>
    </border>
    <border diagonalUp="false" diagonalDown="false">
      <left/>
      <right/>
      <top/>
      <bottom style="medium">
        <color rgb="FF135B44"/>
      </bottom>
      <diagonal/>
    </border>
    <border diagonalUp="false" diagonalDown="false">
      <left/>
      <right/>
      <top style="medium">
        <color rgb="FF135B44"/>
      </top>
      <bottom style="medium">
        <color rgb="FF135B44"/>
      </bottom>
      <diagonal/>
    </border>
    <border diagonalUp="false" diagonalDown="false">
      <left/>
      <right/>
      <top/>
      <bottom style="thin">
        <color rgb="FFB7B7B7"/>
      </bottom>
      <diagonal/>
    </border>
    <border diagonalUp="false" diagonalDown="false">
      <left/>
      <right/>
      <top style="thin">
        <color rgb="FFB7B7B7"/>
      </top>
      <bottom style="thin">
        <color rgb="FFB7B7B7"/>
      </bottom>
      <diagonal/>
    </border>
    <border diagonalUp="false" diagonalDown="false">
      <left/>
      <right/>
      <top style="thin">
        <color rgb="FFB7B7B7"/>
      </top>
      <bottom style="thin"/>
      <diagonal/>
    </border>
    <border diagonalUp="false" diagonalDown="false">
      <left/>
      <right/>
      <top style="medium">
        <color rgb="FF135B44"/>
      </top>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64" fontId="7" fillId="0" borderId="3" xfId="0" applyFont="true" applyBorder="true" applyAlignment="false" applyProtection="false">
      <alignment horizontal="general" vertical="bottom" textRotation="0" wrapText="false" indent="0" shrinkToFit="false"/>
      <protection locked="true" hidden="false"/>
    </xf>
    <xf numFmtId="165" fontId="9" fillId="0" borderId="3" xfId="0" applyFont="true" applyBorder="true" applyAlignment="true" applyProtection="false">
      <alignment horizontal="right" vertical="center" textRotation="0" wrapText="false" indent="0" shrinkToFit="false"/>
      <protection locked="true" hidden="false"/>
    </xf>
    <xf numFmtId="164" fontId="10" fillId="0" borderId="3" xfId="0" applyFont="true" applyBorder="true" applyAlignment="true" applyProtection="false">
      <alignment horizontal="left" vertical="center" textRotation="0" wrapText="true" indent="0" shrinkToFit="false"/>
      <protection locked="true" hidden="false"/>
    </xf>
    <xf numFmtId="164" fontId="11" fillId="0" borderId="4" xfId="0" applyFont="true" applyBorder="true" applyAlignment="false" applyProtection="false">
      <alignment horizontal="general" vertical="bottom" textRotation="0" wrapText="false" indent="0" shrinkToFit="false"/>
      <protection locked="true" hidden="false"/>
    </xf>
    <xf numFmtId="165" fontId="12" fillId="0" borderId="4" xfId="0" applyFont="true" applyBorder="true" applyAlignment="true" applyProtection="false">
      <alignment horizontal="right" vertical="center" textRotation="0" wrapText="false" indent="0" shrinkToFit="false"/>
      <protection locked="true" hidden="false"/>
    </xf>
    <xf numFmtId="164" fontId="10" fillId="0" borderId="4" xfId="0" applyFont="true" applyBorder="true" applyAlignment="true" applyProtection="false">
      <alignment horizontal="left" vertical="center" textRotation="0" wrapText="true" indent="0" shrinkToFit="false"/>
      <protection locked="true" hidden="false"/>
    </xf>
    <xf numFmtId="164" fontId="7" fillId="0" borderId="4" xfId="0" applyFont="true" applyBorder="true" applyAlignment="false" applyProtection="false">
      <alignment horizontal="general" vertical="bottom" textRotation="0" wrapText="false" indent="0" shrinkToFit="false"/>
      <protection locked="true" hidden="false"/>
    </xf>
    <xf numFmtId="165" fontId="9" fillId="0" borderId="4" xfId="0" applyFont="true" applyBorder="true" applyAlignment="true" applyProtection="false">
      <alignment horizontal="right" vertical="center" textRotation="0" wrapText="false" indent="0" shrinkToFit="false"/>
      <protection locked="true" hidden="false"/>
    </xf>
    <xf numFmtId="164" fontId="11" fillId="0" borderId="5" xfId="0" applyFont="true" applyBorder="true" applyAlignment="false" applyProtection="false">
      <alignment horizontal="general" vertical="bottom" textRotation="0" wrapText="false" indent="0" shrinkToFit="false"/>
      <protection locked="true" hidden="false"/>
    </xf>
    <xf numFmtId="166" fontId="12" fillId="0" borderId="5" xfId="0" applyFont="true" applyBorder="true" applyAlignment="true" applyProtection="false">
      <alignment horizontal="right" vertical="center" textRotation="0" wrapText="false" indent="0" shrinkToFit="false"/>
      <protection locked="true" hidden="false"/>
    </xf>
    <xf numFmtId="164" fontId="10" fillId="0" borderId="5" xfId="0" applyFont="true" applyBorder="true" applyAlignment="true" applyProtection="false">
      <alignment horizontal="left" vertical="center" textRotation="0" wrapText="true" indent="0" shrinkToFit="false"/>
      <protection locked="true" hidden="false"/>
    </xf>
    <xf numFmtId="164" fontId="7" fillId="0" borderId="3" xfId="0" applyFont="true" applyBorder="true" applyAlignment="true" applyProtection="false">
      <alignment horizontal="left" vertical="center" textRotation="0" wrapText="false" indent="0" shrinkToFit="false"/>
      <protection locked="true" hidden="false"/>
    </xf>
    <xf numFmtId="167" fontId="9" fillId="0" borderId="3" xfId="0" applyFont="true" applyBorder="true" applyAlignment="true" applyProtection="false">
      <alignment horizontal="right" vertical="center" textRotation="0" wrapText="false" indent="0" shrinkToFit="false"/>
      <protection locked="true" hidden="false"/>
    </xf>
    <xf numFmtId="164" fontId="11" fillId="0" borderId="4" xfId="0" applyFont="true" applyBorder="true" applyAlignment="true" applyProtection="false">
      <alignment horizontal="left" vertical="center" textRotation="0" wrapText="false" indent="0" shrinkToFit="false"/>
      <protection locked="true" hidden="false"/>
    </xf>
    <xf numFmtId="167" fontId="12" fillId="0" borderId="4" xfId="0" applyFont="true" applyBorder="true" applyAlignment="true" applyProtection="false">
      <alignment horizontal="right" vertical="center" textRotation="0" wrapText="false" indent="0" shrinkToFit="false"/>
      <protection locked="true" hidden="false"/>
    </xf>
    <xf numFmtId="167" fontId="11" fillId="0" borderId="4" xfId="0" applyFont="true" applyBorder="true" applyAlignment="true" applyProtection="false">
      <alignment horizontal="right" vertical="center" textRotation="0" wrapText="false" indent="0" shrinkToFit="false"/>
      <protection locked="true" hidden="false"/>
    </xf>
    <xf numFmtId="164" fontId="11" fillId="0" borderId="5" xfId="0" applyFont="true" applyBorder="true" applyAlignment="true" applyProtection="false">
      <alignment horizontal="left" vertical="center" textRotation="0" wrapText="false" indent="0" shrinkToFit="false"/>
      <protection locked="true" hidden="false"/>
    </xf>
    <xf numFmtId="165" fontId="12" fillId="0" borderId="5" xfId="0" applyFont="true" applyBorder="true" applyAlignment="true" applyProtection="false">
      <alignment horizontal="right" vertical="center" textRotation="0" wrapText="false" indent="0" shrinkToFit="false"/>
      <protection locked="true" hidden="false"/>
    </xf>
    <xf numFmtId="167" fontId="12" fillId="0" borderId="5" xfId="0" applyFont="true" applyBorder="true" applyAlignment="true" applyProtection="false">
      <alignment horizontal="right" vertical="center" textRotation="0" wrapText="false" indent="0" shrinkToFit="false"/>
      <protection locked="true" hidden="false"/>
    </xf>
    <xf numFmtId="167" fontId="11" fillId="0" borderId="5" xfId="0" applyFont="true" applyBorder="true" applyAlignment="true" applyProtection="false">
      <alignment horizontal="right" vertical="center" textRotation="0" wrapText="false" indent="0" shrinkToFit="false"/>
      <protection locked="true" hidden="false"/>
    </xf>
    <xf numFmtId="168" fontId="12" fillId="0" borderId="3" xfId="0" applyFont="true" applyBorder="true" applyAlignment="true" applyProtection="false">
      <alignment horizontal="left" vertical="center" textRotation="0" wrapText="true" indent="0" shrinkToFit="false"/>
      <protection locked="true" hidden="false"/>
    </xf>
    <xf numFmtId="165" fontId="12" fillId="0" borderId="3" xfId="0" applyFont="true" applyBorder="true" applyAlignment="true" applyProtection="false">
      <alignment horizontal="right" vertical="center" textRotation="0" wrapText="false" indent="0" shrinkToFit="false"/>
      <protection locked="true" hidden="false"/>
    </xf>
    <xf numFmtId="167" fontId="12" fillId="0" borderId="3" xfId="0" applyFont="true" applyBorder="true" applyAlignment="true" applyProtection="false">
      <alignment horizontal="right" vertical="center" textRotation="0" wrapText="false" indent="0" shrinkToFit="false"/>
      <protection locked="true" hidden="false"/>
    </xf>
    <xf numFmtId="168" fontId="12" fillId="0" borderId="4" xfId="0" applyFont="true" applyBorder="true" applyAlignment="true" applyProtection="false">
      <alignment horizontal="left" vertical="center" textRotation="0" wrapText="true" indent="0" shrinkToFit="false"/>
      <protection locked="true" hidden="false"/>
    </xf>
    <xf numFmtId="168" fontId="12" fillId="0" borderId="5"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1" fillId="0" borderId="3" xfId="0" applyFont="true" applyBorder="true" applyAlignment="false" applyProtection="false">
      <alignment horizontal="general" vertical="bottom" textRotation="0" wrapText="false" indent="0" shrinkToFit="false"/>
      <protection locked="true" hidden="false"/>
    </xf>
    <xf numFmtId="166" fontId="16" fillId="0" borderId="3" xfId="0" applyFont="true" applyBorder="true" applyAlignment="true" applyProtection="false">
      <alignment horizontal="right" vertical="center" textRotation="0" wrapText="false" indent="0" shrinkToFit="false"/>
      <protection locked="true" hidden="false"/>
    </xf>
    <xf numFmtId="166" fontId="16" fillId="0" borderId="4" xfId="0" applyFont="true" applyBorder="true" applyAlignment="true" applyProtection="false">
      <alignment horizontal="right" vertical="center" textRotation="0" wrapText="false" indent="0" shrinkToFit="false"/>
      <protection locked="true" hidden="false"/>
    </xf>
    <xf numFmtId="169" fontId="16" fillId="0" borderId="5" xfId="0" applyFont="true" applyBorder="true" applyAlignment="true" applyProtection="false">
      <alignment horizontal="right" vertical="center" textRotation="0" wrapText="false" indent="0" shrinkToFit="false"/>
      <protection locked="true" hidden="false"/>
    </xf>
    <xf numFmtId="164" fontId="11" fillId="0" borderId="3" xfId="0" applyFont="true" applyBorder="true" applyAlignment="true" applyProtection="false">
      <alignment horizontal="left" vertical="center" textRotation="0" wrapText="true" indent="0" shrinkToFit="false"/>
      <protection locked="true" hidden="false"/>
    </xf>
    <xf numFmtId="164" fontId="16" fillId="0" borderId="3" xfId="0" applyFont="true" applyBorder="true" applyAlignment="true" applyProtection="false">
      <alignment horizontal="center" vertical="center" textRotation="0" wrapText="false" indent="0" shrinkToFit="false"/>
      <protection locked="true" hidden="false"/>
    </xf>
    <xf numFmtId="164" fontId="11" fillId="0" borderId="4" xfId="0" applyFont="true" applyBorder="true" applyAlignment="true" applyProtection="false">
      <alignment horizontal="left" vertical="center" textRotation="0" wrapText="true" indent="0" shrinkToFit="false"/>
      <protection locked="true" hidden="false"/>
    </xf>
    <xf numFmtId="164" fontId="16" fillId="0" borderId="4" xfId="0" applyFont="true" applyBorder="true" applyAlignment="true" applyProtection="false">
      <alignment horizontal="center" vertical="center" textRotation="0" wrapText="false" indent="0" shrinkToFit="false"/>
      <protection locked="true" hidden="false"/>
    </xf>
    <xf numFmtId="164" fontId="11" fillId="0" borderId="5" xfId="0" applyFont="true" applyBorder="true" applyAlignment="true" applyProtection="false">
      <alignment horizontal="left" vertical="center" textRotation="0" wrapText="true" indent="0" shrinkToFit="false"/>
      <protection locked="true" hidden="false"/>
    </xf>
    <xf numFmtId="164" fontId="16" fillId="0" borderId="5"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16" fillId="0" borderId="0" xfId="0" applyFont="true" applyBorder="false" applyAlignment="true" applyProtection="false">
      <alignment horizontal="right" vertical="center"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65" fontId="16" fillId="0" borderId="0" xfId="0" applyFont="true" applyBorder="false" applyAlignment="true" applyProtection="false">
      <alignment horizontal="right" vertical="center" textRotation="0" wrapText="false" indent="0" shrinkToFit="false"/>
      <protection locked="true" hidden="false"/>
    </xf>
    <xf numFmtId="167" fontId="16" fillId="0" borderId="0" xfId="0" applyFont="true" applyBorder="false" applyAlignment="true" applyProtection="false">
      <alignment horizontal="right" vertical="center" textRotation="0" wrapText="false" indent="0" shrinkToFit="false"/>
      <protection locked="true" hidden="false"/>
    </xf>
    <xf numFmtId="165" fontId="11" fillId="0" borderId="0" xfId="0" applyFont="true" applyBorder="false" applyAlignment="true" applyProtection="false">
      <alignment horizontal="right" vertical="center" textRotation="0" wrapText="false" indent="0" shrinkToFit="false"/>
      <protection locked="true" hidden="false"/>
    </xf>
    <xf numFmtId="167" fontId="11" fillId="0" borderId="0" xfId="0" applyFont="true" applyBorder="false" applyAlignment="true" applyProtection="false">
      <alignment horizontal="right" vertical="center" textRotation="0" wrapText="false" indent="0" shrinkToFit="false"/>
      <protection locked="true" hidden="false"/>
    </xf>
    <xf numFmtId="165" fontId="12" fillId="0" borderId="0" xfId="0" applyFont="true" applyBorder="false" applyAlignment="true" applyProtection="false">
      <alignment horizontal="right" vertical="center" textRotation="0" wrapText="false" indent="0" shrinkToFit="false"/>
      <protection locked="true" hidden="false"/>
    </xf>
    <xf numFmtId="167" fontId="12" fillId="0" borderId="0" xfId="0" applyFont="true" applyBorder="false" applyAlignment="true" applyProtection="false">
      <alignment horizontal="right" vertical="center" textRotation="0" wrapText="false" indent="0" shrinkToFit="false"/>
      <protection locked="true" hidden="false"/>
    </xf>
    <xf numFmtId="167" fontId="7" fillId="0" borderId="0" xfId="0" applyFont="true" applyBorder="false" applyAlignment="true" applyProtection="false">
      <alignment horizontal="right" vertical="center" textRotation="0" wrapText="fals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7" fillId="0" borderId="6" xfId="0" applyFont="true" applyBorder="true" applyAlignment="false" applyProtection="false">
      <alignment horizontal="general" vertical="bottom" textRotation="0" wrapText="false" indent="0" shrinkToFit="false"/>
      <protection locked="true" hidden="false"/>
    </xf>
    <xf numFmtId="165" fontId="7" fillId="0" borderId="6" xfId="0" applyFont="true" applyBorder="true" applyAlignment="true" applyProtection="false">
      <alignment horizontal="right" vertical="center" textRotation="0" wrapText="false" indent="0" shrinkToFit="false"/>
      <protection locked="true" hidden="false"/>
    </xf>
    <xf numFmtId="167" fontId="7" fillId="0" borderId="6"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35B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8000"/>
          <bgColor rgb="FF000000"/>
        </patternFill>
      </fill>
    </dxf>
    <dxf>
      <fill>
        <patternFill patternType="solid">
          <fgColor rgb="FFC00000"/>
          <bgColor rgb="FF000000"/>
        </patternFill>
      </fill>
    </dxf>
    <dxf>
      <font>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78787"/>
      <rgbColor rgb="FF9999FF"/>
      <rgbColor rgb="FF993366"/>
      <rgbColor rgb="FFF9F9F9"/>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FE9E0"/>
      <rgbColor rgb="FFFFFF99"/>
      <rgbColor rgb="FF99CCFF"/>
      <rgbColor rgb="FFFF99CC"/>
      <rgbColor rgb="FFCC99FF"/>
      <rgbColor rgb="FFFFCC99"/>
      <rgbColor rgb="FF4F81BD"/>
      <rgbColor rgb="FF33CCCC"/>
      <rgbColor rgb="FF99CC00"/>
      <rgbColor rgb="FFFFCC00"/>
      <rgbColor rgb="FFFF9900"/>
      <rgbColor rgb="FFFF6600"/>
      <rgbColor rgb="FF666666"/>
      <rgbColor rgb="FF969696"/>
      <rgbColor rgb="FF135B4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Costo Año 1 por escenario</a:t>
            </a:r>
          </a:p>
        </c:rich>
      </c:tx>
      <c:overlay val="0"/>
      <c:spPr>
        <a:noFill/>
        <a:ln w="0">
          <a:noFill/>
        </a:ln>
      </c:spPr>
    </c:title>
    <c:autoTitleDeleted val="0"/>
    <c:plotArea>
      <c:barChart>
        <c:barDir val="col"/>
        <c:grouping val="clustered"/>
        <c:varyColors val="0"/>
        <c:ser>
          <c:idx val="0"/>
          <c:order val="0"/>
          <c:tx>
            <c:strRef>
              <c:f>Resumen!F20</c:f>
              <c:strCache>
                <c:ptCount val="1"/>
                <c:pt idx="0">
                  <c:v>Costo Año 1</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Resumen!$C$21:$C$24</c:f>
              <c:strCache>
                <c:ptCount val="4"/>
                <c:pt idx="0">
                  <c:v>Selección actual por persona</c:v>
                </c:pt>
                <c:pt idx="1">
                  <c:v>Todos expatriados</c:v>
                </c:pt>
                <c:pt idx="2">
                  <c:v>Todos repatriados — con housing</c:v>
                </c:pt>
                <c:pt idx="3">
                  <c:v>Todos repatriados — sin housing</c:v>
                </c:pt>
              </c:strCache>
            </c:strRef>
          </c:cat>
          <c:val>
            <c:numRef>
              <c:f>Resumen!$F$21:$F$24</c:f>
              <c:numCache>
                <c:formatCode>#,##0.0;\(#,##0.0\);\-</c:formatCode>
                <c:ptCount val="4"/>
                <c:pt idx="0">
                  <c:v>2243600</c:v>
                </c:pt>
                <c:pt idx="1">
                  <c:v>2243600</c:v>
                </c:pt>
                <c:pt idx="2">
                  <c:v>2191600</c:v>
                </c:pt>
                <c:pt idx="3">
                  <c:v>2092600</c:v>
                </c:pt>
              </c:numCache>
            </c:numRef>
          </c:val>
        </c:ser>
        <c:gapWidth val="150"/>
        <c:overlap val="0"/>
        <c:axId val="29746751"/>
        <c:axId val="19831421"/>
      </c:barChart>
      <c:catAx>
        <c:axId val="2974675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Escenario</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831421"/>
        <c:crosses val="autoZero"/>
        <c:auto val="1"/>
        <c:lblAlgn val="ctr"/>
        <c:lblOffset val="100"/>
        <c:noMultiLvlLbl val="0"/>
      </c:catAx>
      <c:valAx>
        <c:axId val="1983142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74675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18</xdr:row>
      <xdr:rowOff>0</xdr:rowOff>
    </xdr:from>
    <xdr:to>
      <xdr:col>17</xdr:col>
      <xdr:colOff>585720</xdr:colOff>
      <xdr:row>27</xdr:row>
      <xdr:rowOff>355320</xdr:rowOff>
    </xdr:to>
    <xdr:graphicFrame>
      <xdr:nvGraphicFramePr>
        <xdr:cNvPr id="0" name="Chart 1"/>
        <xdr:cNvGraphicFramePr/>
      </xdr:nvGraphicFramePr>
      <xdr:xfrm>
        <a:off x="16209720" y="51814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L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6"/>
    <col collapsed="false" customWidth="true" hidden="false" outlineLevel="0" max="4" min="4" style="0" width="20"/>
    <col collapsed="false" customWidth="true" hidden="false" outlineLevel="0" max="5" min="5" style="0" width="30"/>
    <col collapsed="false" customWidth="true" hidden="false" outlineLevel="0" max="6" min="6" style="0" width="20"/>
    <col collapsed="false" customWidth="true" hidden="false" outlineLevel="0" max="7" min="7" style="0" width="21"/>
    <col collapsed="false" customWidth="true" hidden="false" outlineLevel="0" max="8" min="8" style="0" width="15"/>
    <col collapsed="false" customWidth="true" hidden="false" outlineLevel="0" max="9" min="9" style="0" width="12"/>
  </cols>
  <sheetData>
    <row r="3" customFormat="false" ht="24.75" hidden="false" customHeight="true" outlineLevel="0" collapsed="false">
      <c r="C3" s="1" t="s">
        <v>0</v>
      </c>
      <c r="D3" s="1"/>
      <c r="E3" s="1"/>
      <c r="F3" s="1"/>
      <c r="G3" s="1"/>
      <c r="H3" s="1"/>
      <c r="I3" s="1"/>
      <c r="J3" s="1"/>
      <c r="K3" s="1"/>
      <c r="L3" s="1"/>
    </row>
    <row r="5" customFormat="false" ht="15" hidden="false" customHeight="false" outlineLevel="0" collapsed="false">
      <c r="C5" s="2" t="s">
        <v>1</v>
      </c>
    </row>
    <row r="6" customFormat="false" ht="15" hidden="false" customHeight="false" outlineLevel="0" collapsed="false">
      <c r="C6" s="3" t="s">
        <v>2</v>
      </c>
    </row>
    <row r="8" customFormat="false" ht="19.5" hidden="false" customHeight="true" outlineLevel="0" collapsed="false">
      <c r="C8" s="4" t="s">
        <v>3</v>
      </c>
      <c r="D8" s="4"/>
      <c r="E8" s="4"/>
      <c r="F8" s="4"/>
      <c r="G8" s="4"/>
    </row>
    <row r="9" customFormat="false" ht="33.75" hidden="false" customHeight="true" outlineLevel="0" collapsed="false">
      <c r="C9" s="5" t="s">
        <v>4</v>
      </c>
      <c r="D9" s="5" t="s">
        <v>5</v>
      </c>
      <c r="E9" s="5" t="s">
        <v>6</v>
      </c>
      <c r="F9" s="5" t="s">
        <v>7</v>
      </c>
      <c r="G9" s="5" t="s">
        <v>8</v>
      </c>
    </row>
    <row r="10" customFormat="false" ht="30" hidden="false" customHeight="true" outlineLevel="0" collapsed="false">
      <c r="C10" s="6" t="s">
        <v>9</v>
      </c>
      <c r="D10" s="7" t="n">
        <f aca="false">Personal!M21</f>
        <v>2396800</v>
      </c>
      <c r="E10" s="8" t="s">
        <v>10</v>
      </c>
      <c r="F10" s="8" t="s">
        <v>11</v>
      </c>
      <c r="G10" s="8" t="s">
        <v>12</v>
      </c>
    </row>
    <row r="11" customFormat="false" ht="30" hidden="false" customHeight="true" outlineLevel="0" collapsed="false">
      <c r="C11" s="9" t="s">
        <v>13</v>
      </c>
      <c r="D11" s="10" t="n">
        <f aca="false">Personal!U21</f>
        <v>1045200</v>
      </c>
      <c r="E11" s="11" t="s">
        <v>14</v>
      </c>
      <c r="F11" s="11" t="s">
        <v>15</v>
      </c>
      <c r="G11" s="11" t="s">
        <v>16</v>
      </c>
    </row>
    <row r="12" customFormat="false" ht="30" hidden="false" customHeight="true" outlineLevel="0" collapsed="false">
      <c r="C12" s="9" t="s">
        <v>17</v>
      </c>
      <c r="D12" s="10" t="n">
        <f aca="false">Personal!AB21</f>
        <v>1198400</v>
      </c>
      <c r="E12" s="11" t="s">
        <v>18</v>
      </c>
      <c r="F12" s="11" t="s">
        <v>15</v>
      </c>
      <c r="G12" s="11" t="s">
        <v>19</v>
      </c>
    </row>
    <row r="13" customFormat="false" ht="30" hidden="false" customHeight="true" outlineLevel="0" collapsed="false">
      <c r="C13" s="12" t="s">
        <v>20</v>
      </c>
      <c r="D13" s="13" t="n">
        <f aca="false">Personal!AC21</f>
        <v>2243600</v>
      </c>
      <c r="E13" s="11" t="s">
        <v>21</v>
      </c>
      <c r="F13" s="11" t="s">
        <v>15</v>
      </c>
      <c r="G13" s="11" t="s">
        <v>16</v>
      </c>
    </row>
    <row r="14" customFormat="false" ht="30" hidden="false" customHeight="true" outlineLevel="0" collapsed="false">
      <c r="C14" s="12" t="s">
        <v>22</v>
      </c>
      <c r="D14" s="13" t="n">
        <f aca="false">Personal!AD21</f>
        <v>153200</v>
      </c>
      <c r="E14" s="11" t="s">
        <v>23</v>
      </c>
      <c r="F14" s="11" t="s">
        <v>15</v>
      </c>
      <c r="G14" s="11" t="s">
        <v>16</v>
      </c>
    </row>
    <row r="15" customFormat="false" ht="30" hidden="false" customHeight="true" outlineLevel="0" collapsed="false">
      <c r="C15" s="12" t="s">
        <v>24</v>
      </c>
      <c r="D15" s="13" t="n">
        <f aca="false">Personal!AE21</f>
        <v>2396800</v>
      </c>
      <c r="E15" s="11" t="s">
        <v>25</v>
      </c>
      <c r="F15" s="11" t="s">
        <v>15</v>
      </c>
      <c r="G15" s="11" t="s">
        <v>16</v>
      </c>
    </row>
    <row r="16" customFormat="false" ht="30" hidden="false" customHeight="true" outlineLevel="0" collapsed="false">
      <c r="C16" s="14" t="s">
        <v>26</v>
      </c>
      <c r="D16" s="15" t="n">
        <f aca="false">COUNTIF(Personal!AF11:AF19,"&lt;&gt;Completo")</f>
        <v>9</v>
      </c>
      <c r="E16" s="16" t="s">
        <v>27</v>
      </c>
      <c r="F16" s="16" t="s">
        <v>15</v>
      </c>
      <c r="G16" s="16" t="s">
        <v>28</v>
      </c>
    </row>
    <row r="19" customFormat="false" ht="19.5" hidden="false" customHeight="true" outlineLevel="0" collapsed="false">
      <c r="C19" s="4" t="s">
        <v>29</v>
      </c>
      <c r="D19" s="4"/>
      <c r="E19" s="4"/>
      <c r="F19" s="4"/>
      <c r="G19" s="4"/>
      <c r="H19" s="4"/>
    </row>
    <row r="20" customFormat="false" ht="33.75" hidden="false" customHeight="true" outlineLevel="0" collapsed="false">
      <c r="C20" s="5" t="s">
        <v>30</v>
      </c>
      <c r="D20" s="5" t="s">
        <v>31</v>
      </c>
      <c r="E20" s="5" t="s">
        <v>32</v>
      </c>
      <c r="F20" s="5" t="s">
        <v>33</v>
      </c>
      <c r="G20" s="5" t="s">
        <v>34</v>
      </c>
      <c r="H20" s="5" t="s">
        <v>35</v>
      </c>
    </row>
    <row r="21" customFormat="false" ht="24" hidden="false" customHeight="true" outlineLevel="0" collapsed="false">
      <c r="C21" s="17" t="s">
        <v>36</v>
      </c>
      <c r="D21" s="7" t="n">
        <f aca="false">Personal!U21</f>
        <v>1045200</v>
      </c>
      <c r="E21" s="18" t="n">
        <f aca="false">Personal!AB21</f>
        <v>1198400</v>
      </c>
      <c r="F21" s="18" t="n">
        <f aca="false">Personal!AC21</f>
        <v>2243600</v>
      </c>
      <c r="G21" s="18" t="n">
        <f aca="false">Personal!AD21</f>
        <v>153200</v>
      </c>
      <c r="H21" s="18" t="n">
        <f aca="false">Personal!AE21</f>
        <v>2396800</v>
      </c>
    </row>
    <row r="22" customFormat="false" ht="24" hidden="false" customHeight="true" outlineLevel="0" collapsed="false">
      <c r="C22" s="19" t="s">
        <v>37</v>
      </c>
      <c r="D22" s="10" t="n">
        <f aca="false">Personal!U21</f>
        <v>1045200</v>
      </c>
      <c r="E22" s="20" t="n">
        <f aca="false">Personal!M21/12*Supuestos!$D$10</f>
        <v>1198400</v>
      </c>
      <c r="F22" s="21" t="n">
        <f aca="false">D22+E22</f>
        <v>2243600</v>
      </c>
      <c r="G22" s="20" t="n">
        <f aca="false">Personal!M21-F22</f>
        <v>153200</v>
      </c>
      <c r="H22" s="20" t="n">
        <f aca="false">Personal!M21</f>
        <v>2396800</v>
      </c>
    </row>
    <row r="23" customFormat="false" ht="24" hidden="false" customHeight="true" outlineLevel="0" collapsed="false">
      <c r="C23" s="19" t="s">
        <v>38</v>
      </c>
      <c r="D23" s="10" t="n">
        <f aca="false">Personal!U21</f>
        <v>1045200</v>
      </c>
      <c r="E23" s="20" t="n">
        <f aca="false">(SUM(Personal!F11:F19)+SUM(Personal!G11:G19)+SUM(Personal!H11:H19)+SUM(Personal!J11:J19)+SUM(Personal!K11:K19))/12*Supuestos!$D$10</f>
        <v>1146400</v>
      </c>
      <c r="F23" s="21" t="n">
        <f aca="false">D23+E23</f>
        <v>2191600</v>
      </c>
      <c r="G23" s="20" t="n">
        <f aca="false">Personal!M21-F23</f>
        <v>205200</v>
      </c>
      <c r="H23" s="20" t="n">
        <f aca="false">E23/Supuestos!$D$10*12</f>
        <v>2292800</v>
      </c>
    </row>
    <row r="24" customFormat="false" ht="24" hidden="false" customHeight="true" outlineLevel="0" collapsed="false">
      <c r="C24" s="22" t="s">
        <v>39</v>
      </c>
      <c r="D24" s="23" t="n">
        <f aca="false">Personal!U21</f>
        <v>1045200</v>
      </c>
      <c r="E24" s="24" t="n">
        <f aca="false">(SUM(Personal!F11:F19)+SUM(Personal!H11:H19)+SUM(Personal!J11:J19)+SUM(Personal!K11:K19))/12*Supuestos!$D$10</f>
        <v>1047400</v>
      </c>
      <c r="F24" s="25" t="n">
        <f aca="false">D24+E24</f>
        <v>2092600</v>
      </c>
      <c r="G24" s="24" t="n">
        <f aca="false">Personal!M21-F24</f>
        <v>304200</v>
      </c>
      <c r="H24" s="24" t="n">
        <f aca="false">E24/Supuestos!$D$10*12</f>
        <v>2094800</v>
      </c>
    </row>
    <row r="27" customFormat="false" ht="19.5" hidden="false" customHeight="true" outlineLevel="0" collapsed="false">
      <c r="C27" s="4" t="s">
        <v>40</v>
      </c>
      <c r="D27" s="4"/>
      <c r="E27" s="4"/>
      <c r="F27" s="4"/>
      <c r="G27" s="4"/>
      <c r="H27" s="4"/>
      <c r="I27" s="4"/>
    </row>
    <row r="28" customFormat="false" ht="33.75" hidden="false" customHeight="true" outlineLevel="0" collapsed="false">
      <c r="C28" s="5" t="s">
        <v>41</v>
      </c>
      <c r="D28" s="5" t="s">
        <v>42</v>
      </c>
      <c r="E28" s="5" t="s">
        <v>43</v>
      </c>
      <c r="F28" s="5" t="s">
        <v>44</v>
      </c>
      <c r="G28" s="5" t="s">
        <v>45</v>
      </c>
      <c r="H28" s="5" t="s">
        <v>46</v>
      </c>
      <c r="I28" s="5" t="s">
        <v>47</v>
      </c>
    </row>
    <row r="29" customFormat="false" ht="24" hidden="false" customHeight="true" outlineLevel="0" collapsed="false">
      <c r="C29" s="26" t="str">
        <f aca="false">Personal!E11</f>
        <v>Martin del Castillo</v>
      </c>
      <c r="D29" s="26" t="str">
        <f aca="false">Personal!D11</f>
        <v>COO / PU General Manager</v>
      </c>
      <c r="E29" s="26" t="str">
        <f aca="false">Personal!V11</f>
        <v>Expatriado</v>
      </c>
      <c r="F29" s="26" t="str">
        <f aca="false">Personal!W11</f>
        <v>Por definir</v>
      </c>
      <c r="G29" s="27" t="n">
        <f aca="false">Personal!U11</f>
        <v>226000</v>
      </c>
      <c r="H29" s="28" t="n">
        <f aca="false">Personal!AB11</f>
        <v>262000</v>
      </c>
      <c r="I29" s="28" t="n">
        <f aca="false">Personal!AC11</f>
        <v>488000</v>
      </c>
    </row>
    <row r="30" customFormat="false" ht="24" hidden="false" customHeight="true" outlineLevel="0" collapsed="false">
      <c r="C30" s="29" t="str">
        <f aca="false">Personal!E12</f>
        <v>Juan Conde</v>
      </c>
      <c r="D30" s="29" t="str">
        <f aca="false">Personal!D12</f>
        <v>EPCM &amp; Engineering Manager</v>
      </c>
      <c r="E30" s="29" t="str">
        <f aca="false">Personal!V12</f>
        <v>Expatriado</v>
      </c>
      <c r="F30" s="29" t="str">
        <f aca="false">Personal!W12</f>
        <v>Por definir</v>
      </c>
      <c r="G30" s="10" t="n">
        <f aca="false">Personal!U12</f>
        <v>141000</v>
      </c>
      <c r="H30" s="20" t="n">
        <f aca="false">Personal!AB12</f>
        <v>162600</v>
      </c>
      <c r="I30" s="20" t="n">
        <f aca="false">Personal!AC12</f>
        <v>303600</v>
      </c>
    </row>
    <row r="31" customFormat="false" ht="24" hidden="false" customHeight="true" outlineLevel="0" collapsed="false">
      <c r="C31" s="29" t="str">
        <f aca="false">Personal!E13</f>
        <v>Alexander Stulme</v>
      </c>
      <c r="D31" s="29" t="str">
        <f aca="false">Personal!D13</f>
        <v>Drilling &amp; Well Services Manager</v>
      </c>
      <c r="E31" s="29" t="str">
        <f aca="false">Personal!V13</f>
        <v>Expatriado</v>
      </c>
      <c r="F31" s="29" t="str">
        <f aca="false">Personal!W13</f>
        <v>Por definir</v>
      </c>
      <c r="G31" s="10" t="n">
        <f aca="false">Personal!U13</f>
        <v>123000</v>
      </c>
      <c r="H31" s="20" t="n">
        <f aca="false">Personal!AB13</f>
        <v>141000</v>
      </c>
      <c r="I31" s="20" t="n">
        <f aca="false">Personal!AC13</f>
        <v>264000</v>
      </c>
    </row>
    <row r="32" customFormat="false" ht="24" hidden="false" customHeight="true" outlineLevel="0" collapsed="false">
      <c r="C32" s="29" t="str">
        <f aca="false">Personal!E14</f>
        <v>Félix Valderrama</v>
      </c>
      <c r="D32" s="29" t="str">
        <f aca="false">Personal!D14</f>
        <v>Operations &amp; Maintenance Manager</v>
      </c>
      <c r="E32" s="29" t="str">
        <f aca="false">Personal!V14</f>
        <v>Expatriado</v>
      </c>
      <c r="F32" s="29" t="str">
        <f aca="false">Personal!W14</f>
        <v>Por definir</v>
      </c>
      <c r="G32" s="10" t="n">
        <f aca="false">Personal!U14</f>
        <v>141000</v>
      </c>
      <c r="H32" s="20" t="n">
        <f aca="false">Personal!AB14</f>
        <v>162600</v>
      </c>
      <c r="I32" s="20" t="n">
        <f aca="false">Personal!AC14</f>
        <v>303600</v>
      </c>
    </row>
    <row r="33" customFormat="false" ht="24" hidden="false" customHeight="true" outlineLevel="0" collapsed="false">
      <c r="C33" s="29" t="str">
        <f aca="false">Personal!E15</f>
        <v>Alan McKeon</v>
      </c>
      <c r="D33" s="29" t="str">
        <f aca="false">Personal!D15</f>
        <v>Technical Manager (Geosciences)</v>
      </c>
      <c r="E33" s="29" t="str">
        <f aca="false">Personal!V15</f>
        <v>Expatriado</v>
      </c>
      <c r="F33" s="29" t="str">
        <f aca="false">Personal!W15</f>
        <v>Por definir</v>
      </c>
      <c r="G33" s="10" t="n">
        <f aca="false">Personal!U15</f>
        <v>123000</v>
      </c>
      <c r="H33" s="20" t="n">
        <f aca="false">Personal!AB15</f>
        <v>141000</v>
      </c>
      <c r="I33" s="20" t="n">
        <f aca="false">Personal!AC15</f>
        <v>264000</v>
      </c>
    </row>
    <row r="34" customFormat="false" ht="24" hidden="false" customHeight="true" outlineLevel="0" collapsed="false">
      <c r="C34" s="29" t="str">
        <f aca="false">Personal!E16</f>
        <v>JJI</v>
      </c>
      <c r="D34" s="29" t="str">
        <f aca="false">Personal!D16</f>
        <v>Reservoir Engineer</v>
      </c>
      <c r="E34" s="29" t="str">
        <f aca="false">Personal!V16</f>
        <v>Expatriado</v>
      </c>
      <c r="F34" s="29" t="str">
        <f aca="false">Personal!W16</f>
        <v>Por definir</v>
      </c>
      <c r="G34" s="10" t="n">
        <f aca="false">Personal!U16</f>
        <v>87000</v>
      </c>
      <c r="H34" s="20" t="n">
        <f aca="false">Personal!AB16</f>
        <v>97000</v>
      </c>
      <c r="I34" s="20" t="n">
        <f aca="false">Personal!AC16</f>
        <v>184000</v>
      </c>
    </row>
    <row r="35" customFormat="false" ht="24" hidden="false" customHeight="true" outlineLevel="0" collapsed="false">
      <c r="C35" s="29" t="str">
        <f aca="false">Personal!E17</f>
        <v>Marcelo Dantas</v>
      </c>
      <c r="D35" s="29" t="str">
        <f aca="false">Personal!D17</f>
        <v>Rig Company Man</v>
      </c>
      <c r="E35" s="29" t="str">
        <f aca="false">Personal!V17</f>
        <v>Expatriado</v>
      </c>
      <c r="F35" s="29" t="str">
        <f aca="false">Personal!W17</f>
        <v>Por definir</v>
      </c>
      <c r="G35" s="10" t="n">
        <f aca="false">Personal!U17</f>
        <v>123000</v>
      </c>
      <c r="H35" s="20" t="n">
        <f aca="false">Personal!AB17</f>
        <v>141000</v>
      </c>
      <c r="I35" s="20" t="n">
        <f aca="false">Personal!AC17</f>
        <v>264000</v>
      </c>
    </row>
    <row r="36" customFormat="false" ht="24" hidden="false" customHeight="true" outlineLevel="0" collapsed="false">
      <c r="C36" s="29" t="str">
        <f aca="false">Personal!E18</f>
        <v>Jose Miguel</v>
      </c>
      <c r="D36" s="29" t="str">
        <f aca="false">Personal!D18</f>
        <v>Planning &amp; PMO</v>
      </c>
      <c r="E36" s="29" t="str">
        <f aca="false">Personal!V18</f>
        <v>Expatriado</v>
      </c>
      <c r="F36" s="29" t="str">
        <f aca="false">Personal!W18</f>
        <v>Por definir</v>
      </c>
      <c r="G36" s="10" t="n">
        <f aca="false">Personal!U18</f>
        <v>37600</v>
      </c>
      <c r="H36" s="20" t="n">
        <f aca="false">Personal!AB18</f>
        <v>43600</v>
      </c>
      <c r="I36" s="20" t="n">
        <f aca="false">Personal!AC18</f>
        <v>81200</v>
      </c>
    </row>
    <row r="37" customFormat="false" ht="24" hidden="false" customHeight="true" outlineLevel="0" collapsed="false">
      <c r="C37" s="30" t="str">
        <f aca="false">Personal!E19</f>
        <v>Leticia Almeida</v>
      </c>
      <c r="D37" s="30" t="str">
        <f aca="false">Personal!D19</f>
        <v>Operations Support</v>
      </c>
      <c r="E37" s="30" t="str">
        <f aca="false">Personal!V19</f>
        <v>Expatriado</v>
      </c>
      <c r="F37" s="30" t="str">
        <f aca="false">Personal!W19</f>
        <v>Por definir</v>
      </c>
      <c r="G37" s="23" t="n">
        <f aca="false">Personal!U19</f>
        <v>43600</v>
      </c>
      <c r="H37" s="24" t="n">
        <f aca="false">Personal!AB19</f>
        <v>47600</v>
      </c>
      <c r="I37" s="24" t="n">
        <f aca="false">Personal!AC19</f>
        <v>91200</v>
      </c>
    </row>
    <row r="40" customFormat="false" ht="19.5" hidden="false" customHeight="true" outlineLevel="0" collapsed="false">
      <c r="C40" s="4" t="s">
        <v>48</v>
      </c>
      <c r="D40" s="4"/>
      <c r="E40" s="4"/>
      <c r="F40" s="4"/>
      <c r="G40" s="4"/>
      <c r="H40" s="4"/>
      <c r="I40" s="4"/>
      <c r="J40" s="4"/>
      <c r="K40" s="4"/>
      <c r="L40" s="4"/>
    </row>
    <row r="41" customFormat="false" ht="22.5" hidden="false" customHeight="true" outlineLevel="0" collapsed="false">
      <c r="C41" s="31" t="s">
        <v>49</v>
      </c>
      <c r="D41" s="31"/>
      <c r="E41" s="31"/>
      <c r="F41" s="31"/>
      <c r="G41" s="31"/>
      <c r="H41" s="31"/>
      <c r="I41" s="31"/>
      <c r="J41" s="31"/>
      <c r="K41" s="31"/>
      <c r="L41" s="31"/>
    </row>
    <row r="42" customFormat="false" ht="22.5" hidden="false" customHeight="true" outlineLevel="0" collapsed="false">
      <c r="C42" s="31" t="s">
        <v>50</v>
      </c>
      <c r="D42" s="31"/>
      <c r="E42" s="31"/>
      <c r="F42" s="31"/>
      <c r="G42" s="31"/>
      <c r="H42" s="31"/>
      <c r="I42" s="31"/>
      <c r="J42" s="31"/>
      <c r="K42" s="31"/>
      <c r="L42" s="31"/>
    </row>
    <row r="43" customFormat="false" ht="22.5" hidden="false" customHeight="true" outlineLevel="0" collapsed="false">
      <c r="C43" s="31" t="s">
        <v>51</v>
      </c>
      <c r="D43" s="31"/>
      <c r="E43" s="31"/>
      <c r="F43" s="31"/>
      <c r="G43" s="31"/>
      <c r="H43" s="31"/>
      <c r="I43" s="31"/>
      <c r="J43" s="31"/>
      <c r="K43" s="31"/>
      <c r="L43" s="31"/>
    </row>
    <row r="44" customFormat="false" ht="22.5" hidden="false" customHeight="true" outlineLevel="0" collapsed="false">
      <c r="C44" s="31" t="s">
        <v>52</v>
      </c>
      <c r="D44" s="31"/>
      <c r="E44" s="31"/>
      <c r="F44" s="31"/>
      <c r="G44" s="31"/>
      <c r="H44" s="31"/>
      <c r="I44" s="31"/>
      <c r="J44" s="31"/>
      <c r="K44" s="31"/>
      <c r="L44" s="31"/>
    </row>
    <row r="45" customFormat="false" ht="22.5" hidden="false" customHeight="true" outlineLevel="0" collapsed="false">
      <c r="C45" s="31" t="s">
        <v>53</v>
      </c>
      <c r="D45" s="31"/>
      <c r="E45" s="31"/>
      <c r="F45" s="31"/>
      <c r="G45" s="31"/>
      <c r="H45" s="31"/>
      <c r="I45" s="31"/>
      <c r="J45" s="31"/>
      <c r="K45" s="31"/>
      <c r="L45" s="31"/>
    </row>
  </sheetData>
  <mergeCells count="10">
    <mergeCell ref="C3:L3"/>
    <mergeCell ref="C8:G8"/>
    <mergeCell ref="C19:H19"/>
    <mergeCell ref="C27:I27"/>
    <mergeCell ref="C40:L40"/>
    <mergeCell ref="C41:L41"/>
    <mergeCell ref="C42:L42"/>
    <mergeCell ref="C43:L43"/>
    <mergeCell ref="C44:L44"/>
    <mergeCell ref="C45:L45"/>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&amp;K666666Resumen | Página &amp;P de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4"/>
    <col collapsed="false" customWidth="true" hidden="false" outlineLevel="0" max="4" min="4" style="0" width="28"/>
    <col collapsed="false" customWidth="true" hidden="false" outlineLevel="0" max="5" min="5" style="0" width="34"/>
    <col collapsed="false" customWidth="true" hidden="false" outlineLevel="0" max="6" min="6" style="0" width="20"/>
    <col collapsed="false" customWidth="true" hidden="false" outlineLevel="0" max="7" min="7" style="0" width="26"/>
    <col collapsed="false" customWidth="true" hidden="false" outlineLevel="0" max="8" min="8" style="0" width="34"/>
    <col collapsed="false" customWidth="true" hidden="false" outlineLevel="0" max="10" min="9" style="0" width="12"/>
  </cols>
  <sheetData>
    <row r="3" customFormat="false" ht="24.75" hidden="false" customHeight="true" outlineLevel="0" collapsed="false">
      <c r="C3" s="1" t="s">
        <v>54</v>
      </c>
      <c r="D3" s="1"/>
      <c r="E3" s="1"/>
      <c r="F3" s="1"/>
      <c r="G3" s="1"/>
      <c r="H3" s="1"/>
      <c r="I3" s="1"/>
      <c r="J3" s="1"/>
    </row>
    <row r="5" customFormat="false" ht="15" hidden="false" customHeight="false" outlineLevel="0" collapsed="false">
      <c r="C5" s="2" t="s">
        <v>55</v>
      </c>
    </row>
    <row r="6" customFormat="false" ht="15" hidden="false" customHeight="false" outlineLevel="0" collapsed="false">
      <c r="C6" s="3" t="s">
        <v>56</v>
      </c>
    </row>
    <row r="8" customFormat="false" ht="19.5" hidden="false" customHeight="true" outlineLevel="0" collapsed="false">
      <c r="C8" s="4" t="s">
        <v>57</v>
      </c>
      <c r="D8" s="4"/>
      <c r="E8" s="4"/>
      <c r="F8" s="4"/>
    </row>
    <row r="9" customFormat="false" ht="15" hidden="false" customHeight="false" outlineLevel="0" collapsed="false">
      <c r="C9" s="32" t="s">
        <v>58</v>
      </c>
      <c r="D9" s="33" t="n">
        <v>6</v>
      </c>
    </row>
    <row r="10" customFormat="false" ht="15" hidden="false" customHeight="false" outlineLevel="0" collapsed="false">
      <c r="C10" s="9" t="s">
        <v>59</v>
      </c>
      <c r="D10" s="34" t="n">
        <v>6</v>
      </c>
    </row>
    <row r="11" customFormat="false" ht="15" hidden="false" customHeight="false" outlineLevel="0" collapsed="false">
      <c r="C11" s="14" t="s">
        <v>60</v>
      </c>
      <c r="D11" s="35" t="n">
        <v>0</v>
      </c>
    </row>
    <row r="14" customFormat="false" ht="19.5" hidden="false" customHeight="true" outlineLevel="0" collapsed="false">
      <c r="C14" s="4" t="s">
        <v>61</v>
      </c>
      <c r="D14" s="4"/>
      <c r="E14" s="4"/>
      <c r="F14" s="4"/>
    </row>
    <row r="15" customFormat="false" ht="33.75" hidden="false" customHeight="true" outlineLevel="0" collapsed="false">
      <c r="C15" s="5" t="s">
        <v>62</v>
      </c>
      <c r="D15" s="5" t="s">
        <v>63</v>
      </c>
      <c r="E15" s="5" t="s">
        <v>64</v>
      </c>
      <c r="F15" s="5" t="s">
        <v>65</v>
      </c>
    </row>
    <row r="16" customFormat="false" ht="23.85" hidden="false" customHeight="false" outlineLevel="0" collapsed="false">
      <c r="C16" s="36" t="s">
        <v>66</v>
      </c>
      <c r="D16" s="37" t="s">
        <v>67</v>
      </c>
      <c r="E16" s="36" t="s">
        <v>68</v>
      </c>
      <c r="F16" s="36" t="s">
        <v>67</v>
      </c>
    </row>
    <row r="17" customFormat="false" ht="23.85" hidden="false" customHeight="false" outlineLevel="0" collapsed="false">
      <c r="C17" s="38" t="s">
        <v>69</v>
      </c>
      <c r="D17" s="39" t="s">
        <v>70</v>
      </c>
      <c r="E17" s="38" t="s">
        <v>71</v>
      </c>
      <c r="F17" s="38" t="s">
        <v>67</v>
      </c>
    </row>
    <row r="18" customFormat="false" ht="23.85" hidden="false" customHeight="false" outlineLevel="0" collapsed="false">
      <c r="C18" s="38" t="s">
        <v>72</v>
      </c>
      <c r="D18" s="39" t="s">
        <v>67</v>
      </c>
      <c r="E18" s="38" t="s">
        <v>73</v>
      </c>
      <c r="F18" s="38" t="s">
        <v>67</v>
      </c>
    </row>
    <row r="19" customFormat="false" ht="23.85" hidden="false" customHeight="false" outlineLevel="0" collapsed="false">
      <c r="C19" s="40" t="s">
        <v>74</v>
      </c>
      <c r="D19" s="41" t="s">
        <v>74</v>
      </c>
      <c r="E19" s="40" t="s">
        <v>75</v>
      </c>
      <c r="F19" s="40" t="s">
        <v>67</v>
      </c>
    </row>
    <row r="22" customFormat="false" ht="19.5" hidden="false" customHeight="true" outlineLevel="0" collapsed="false">
      <c r="C22" s="4" t="s">
        <v>76</v>
      </c>
      <c r="D22" s="4"/>
      <c r="E22" s="4"/>
      <c r="F22" s="4"/>
      <c r="G22" s="4"/>
      <c r="H22" s="4"/>
    </row>
    <row r="23" customFormat="false" ht="33.75" hidden="false" customHeight="true" outlineLevel="0" collapsed="false">
      <c r="C23" s="5" t="s">
        <v>77</v>
      </c>
      <c r="D23" s="5" t="s">
        <v>78</v>
      </c>
      <c r="E23" s="5" t="s">
        <v>79</v>
      </c>
      <c r="F23" s="5" t="s">
        <v>80</v>
      </c>
      <c r="G23" s="5" t="s">
        <v>81</v>
      </c>
      <c r="H23" s="5" t="s">
        <v>82</v>
      </c>
    </row>
    <row r="24" customFormat="false" ht="33.75" hidden="false" customHeight="true" outlineLevel="0" collapsed="false">
      <c r="C24" s="8" t="s">
        <v>83</v>
      </c>
      <c r="D24" s="8" t="s">
        <v>84</v>
      </c>
      <c r="E24" s="8" t="s">
        <v>85</v>
      </c>
      <c r="F24" s="8" t="s">
        <v>86</v>
      </c>
      <c r="G24" s="8" t="s">
        <v>87</v>
      </c>
      <c r="H24" s="8" t="s">
        <v>88</v>
      </c>
    </row>
    <row r="25" customFormat="false" ht="33.75" hidden="false" customHeight="true" outlineLevel="0" collapsed="false">
      <c r="C25" s="11" t="s">
        <v>89</v>
      </c>
      <c r="D25" s="11" t="s">
        <v>67</v>
      </c>
      <c r="E25" s="11" t="s">
        <v>90</v>
      </c>
      <c r="F25" s="11" t="s">
        <v>67</v>
      </c>
      <c r="G25" s="11" t="s">
        <v>87</v>
      </c>
      <c r="H25" s="11" t="s">
        <v>91</v>
      </c>
    </row>
    <row r="26" customFormat="false" ht="33.75" hidden="false" customHeight="true" outlineLevel="0" collapsed="false">
      <c r="C26" s="11" t="s">
        <v>92</v>
      </c>
      <c r="D26" s="11" t="s">
        <v>67</v>
      </c>
      <c r="E26" s="11" t="s">
        <v>67</v>
      </c>
      <c r="F26" s="11" t="s">
        <v>67</v>
      </c>
      <c r="G26" s="11" t="s">
        <v>87</v>
      </c>
      <c r="H26" s="11" t="s">
        <v>93</v>
      </c>
    </row>
    <row r="27" customFormat="false" ht="33.75" hidden="false" customHeight="true" outlineLevel="0" collapsed="false">
      <c r="C27" s="11" t="s">
        <v>94</v>
      </c>
      <c r="D27" s="11" t="s">
        <v>67</v>
      </c>
      <c r="E27" s="11" t="s">
        <v>70</v>
      </c>
      <c r="F27" s="11" t="s">
        <v>67</v>
      </c>
      <c r="G27" s="11" t="s">
        <v>87</v>
      </c>
      <c r="H27" s="11" t="s">
        <v>95</v>
      </c>
    </row>
    <row r="28" customFormat="false" ht="33.75" hidden="false" customHeight="true" outlineLevel="0" collapsed="false">
      <c r="C28" s="11" t="s">
        <v>96</v>
      </c>
      <c r="D28" s="11" t="s">
        <v>67</v>
      </c>
      <c r="E28" s="11" t="s">
        <v>67</v>
      </c>
      <c r="F28" s="11" t="s">
        <v>67</v>
      </c>
      <c r="G28" s="11" t="s">
        <v>87</v>
      </c>
      <c r="H28" s="11" t="s">
        <v>93</v>
      </c>
    </row>
    <row r="29" customFormat="false" ht="33.75" hidden="false" customHeight="true" outlineLevel="0" collapsed="false">
      <c r="C29" s="11" t="s">
        <v>97</v>
      </c>
      <c r="D29" s="11" t="s">
        <v>70</v>
      </c>
      <c r="E29" s="11" t="s">
        <v>67</v>
      </c>
      <c r="F29" s="11" t="s">
        <v>67</v>
      </c>
      <c r="G29" s="11" t="s">
        <v>87</v>
      </c>
      <c r="H29" s="11" t="s">
        <v>98</v>
      </c>
    </row>
    <row r="30" customFormat="false" ht="33.75" hidden="false" customHeight="true" outlineLevel="0" collapsed="false">
      <c r="C30" s="16" t="s">
        <v>99</v>
      </c>
      <c r="D30" s="16" t="s">
        <v>100</v>
      </c>
      <c r="E30" s="16" t="s">
        <v>101</v>
      </c>
      <c r="F30" s="16" t="s">
        <v>101</v>
      </c>
      <c r="G30" s="16" t="s">
        <v>102</v>
      </c>
      <c r="H30" s="16" t="s">
        <v>103</v>
      </c>
    </row>
    <row r="33" customFormat="false" ht="19.5" hidden="false" customHeight="true" outlineLevel="0" collapsed="false">
      <c r="C33" s="4" t="s">
        <v>104</v>
      </c>
      <c r="D33" s="4"/>
      <c r="E33" s="4"/>
      <c r="F33" s="4"/>
      <c r="G33" s="4"/>
      <c r="H33" s="4"/>
      <c r="I33" s="4"/>
      <c r="J33" s="4"/>
    </row>
    <row r="34" customFormat="false" ht="30" hidden="false" customHeight="true" outlineLevel="0" collapsed="false">
      <c r="C34" s="42" t="s">
        <v>105</v>
      </c>
      <c r="D34" s="42"/>
      <c r="E34" s="42"/>
      <c r="F34" s="42"/>
      <c r="G34" s="42"/>
      <c r="H34" s="42"/>
      <c r="I34" s="42"/>
      <c r="J34" s="42"/>
    </row>
    <row r="35" customFormat="false" ht="30" hidden="false" customHeight="true" outlineLevel="0" collapsed="false">
      <c r="C35" s="42"/>
      <c r="D35" s="42"/>
      <c r="E35" s="42"/>
      <c r="F35" s="42"/>
      <c r="G35" s="42"/>
      <c r="H35" s="42"/>
      <c r="I35" s="42"/>
      <c r="J35" s="42"/>
    </row>
    <row r="36" customFormat="false" ht="30" hidden="false" customHeight="true" outlineLevel="0" collapsed="false">
      <c r="C36" s="42"/>
      <c r="D36" s="42"/>
      <c r="E36" s="42"/>
      <c r="F36" s="42"/>
      <c r="G36" s="42"/>
      <c r="H36" s="42"/>
      <c r="I36" s="42"/>
      <c r="J36" s="42"/>
    </row>
  </sheetData>
  <mergeCells count="6">
    <mergeCell ref="C3:J3"/>
    <mergeCell ref="C8:F8"/>
    <mergeCell ref="C14:F14"/>
    <mergeCell ref="C22:H22"/>
    <mergeCell ref="C33:J33"/>
    <mergeCell ref="C34:J36"/>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&amp;K666666Supuestos | Página &amp;P de &amp;N</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A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10" topLeftCell="F11" activePane="bottomRight" state="frozen"/>
      <selection pane="topLeft" activeCell="A1" activeCellId="0" sqref="A1"/>
      <selection pane="topRight" activeCell="F1" activeCellId="0" sqref="F1"/>
      <selection pane="bottomLeft" activeCell="A11" activeCellId="0" sqref="A11"/>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11"/>
    <col collapsed="false" customWidth="true" hidden="false" outlineLevel="0" max="4" min="4" style="0" width="33"/>
    <col collapsed="false" customWidth="true" hidden="false" outlineLevel="0" max="5" min="5" style="0" width="23"/>
    <col collapsed="false" customWidth="true" hidden="false" outlineLevel="0" max="6" min="6" style="0" width="13"/>
    <col collapsed="false" customWidth="true" hidden="false" outlineLevel="0" max="8" min="7" style="0" width="11"/>
    <col collapsed="false" customWidth="true" hidden="false" outlineLevel="0" max="9" min="9" style="0" width="12"/>
    <col collapsed="false" customWidth="true" hidden="false" outlineLevel="0" max="10" min="10" style="0" width="11"/>
    <col collapsed="false" customWidth="true" hidden="false" outlineLevel="0" max="11" min="11" style="0" width="14"/>
    <col collapsed="false" customWidth="true" hidden="false" outlineLevel="0" max="12" min="12" style="0" width="12"/>
    <col collapsed="false" customWidth="true" hidden="false" outlineLevel="0" max="14" min="13" style="0" width="11"/>
    <col collapsed="false" customWidth="true" hidden="false" outlineLevel="0" max="15" min="15" style="0" width="16"/>
    <col collapsed="false" customWidth="true" hidden="false" outlineLevel="0" max="17" min="16" style="0" width="11"/>
    <col collapsed="false" customWidth="true" hidden="false" outlineLevel="0" max="18" min="18" style="0" width="12"/>
    <col collapsed="false" customWidth="true" hidden="false" outlineLevel="0" max="19" min="19" style="0" width="11"/>
    <col collapsed="false" customWidth="true" hidden="false" outlineLevel="0" max="20" min="20" style="0" width="14"/>
    <col collapsed="false" customWidth="true" hidden="false" outlineLevel="0" max="21" min="21" style="0" width="11"/>
    <col collapsed="false" customWidth="true" hidden="false" outlineLevel="0" max="22" min="22" style="0" width="12"/>
    <col collapsed="false" customWidth="true" hidden="false" outlineLevel="0" max="23" min="23" style="0" width="13"/>
    <col collapsed="false" customWidth="true" hidden="false" outlineLevel="0" max="24" min="24" style="0" width="12"/>
    <col collapsed="false" customWidth="true" hidden="false" outlineLevel="0" max="25" min="25" style="0" width="11"/>
    <col collapsed="false" customWidth="true" hidden="false" outlineLevel="0" max="26" min="26" style="0" width="12"/>
    <col collapsed="false" customWidth="true" hidden="false" outlineLevel="0" max="27" min="27" style="0" width="19"/>
    <col collapsed="false" customWidth="true" hidden="false" outlineLevel="0" max="29" min="28" style="0" width="11"/>
    <col collapsed="false" customWidth="true" hidden="false" outlineLevel="0" max="30" min="30" style="0" width="13"/>
    <col collapsed="false" customWidth="true" hidden="false" outlineLevel="0" max="31" min="31" style="0" width="17"/>
    <col collapsed="false" customWidth="true" hidden="false" outlineLevel="0" max="32" min="32" style="0" width="18"/>
  </cols>
  <sheetData>
    <row r="3" customFormat="false" ht="24.75" hidden="false" customHeight="true" outlineLevel="0" collapsed="false">
      <c r="C3" s="1" t="s">
        <v>106</v>
      </c>
      <c r="D3" s="1"/>
      <c r="E3" s="1"/>
      <c r="F3" s="1"/>
      <c r="G3" s="1"/>
      <c r="H3" s="1"/>
      <c r="I3" s="1"/>
      <c r="J3" s="1"/>
      <c r="K3" s="1"/>
      <c r="L3" s="1"/>
      <c r="M3" s="1"/>
      <c r="N3" s="1"/>
      <c r="O3" s="1"/>
      <c r="P3" s="1"/>
      <c r="Q3" s="1"/>
      <c r="R3" s="1"/>
      <c r="S3" s="1"/>
      <c r="T3" s="1"/>
      <c r="U3" s="1"/>
      <c r="V3" s="1"/>
      <c r="W3" s="1"/>
      <c r="X3" s="1"/>
      <c r="Y3" s="1"/>
      <c r="Z3" s="1"/>
      <c r="AA3" s="1"/>
      <c r="AB3" s="1"/>
      <c r="AC3" s="1"/>
      <c r="AD3" s="1"/>
      <c r="AE3" s="1"/>
      <c r="AF3" s="1"/>
    </row>
    <row r="5" customFormat="false" ht="15" hidden="false" customHeight="false" outlineLevel="0" collapsed="false">
      <c r="C5" s="2" t="s">
        <v>107</v>
      </c>
    </row>
    <row r="6" customFormat="false" ht="15" hidden="false" customHeight="false" outlineLevel="0" collapsed="false">
      <c r="C6" s="3" t="s">
        <v>108</v>
      </c>
    </row>
    <row r="8" customFormat="false" ht="19.5" hidden="false" customHeight="true" outlineLevel="0" collapsed="false">
      <c r="C8" s="4" t="s">
        <v>109</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10" customFormat="false" ht="33.75" hidden="false" customHeight="true" outlineLevel="0" collapsed="false">
      <c r="C10" s="5" t="s">
        <v>110</v>
      </c>
      <c r="D10" s="5" t="s">
        <v>42</v>
      </c>
      <c r="E10" s="5" t="s">
        <v>41</v>
      </c>
      <c r="F10" s="5" t="s">
        <v>111</v>
      </c>
      <c r="G10" s="5" t="s">
        <v>112</v>
      </c>
      <c r="H10" s="5" t="s">
        <v>113</v>
      </c>
      <c r="I10" s="5" t="s">
        <v>114</v>
      </c>
      <c r="J10" s="5" t="s">
        <v>115</v>
      </c>
      <c r="K10" s="5" t="s">
        <v>116</v>
      </c>
      <c r="L10" s="5" t="s">
        <v>117</v>
      </c>
      <c r="M10" s="5" t="s">
        <v>118</v>
      </c>
      <c r="N10" s="5" t="s">
        <v>119</v>
      </c>
      <c r="O10" s="5" t="s">
        <v>120</v>
      </c>
      <c r="P10" s="5" t="s">
        <v>121</v>
      </c>
      <c r="Q10" s="5" t="s">
        <v>122</v>
      </c>
      <c r="R10" s="5" t="s">
        <v>123</v>
      </c>
      <c r="S10" s="5" t="s">
        <v>124</v>
      </c>
      <c r="T10" s="5" t="s">
        <v>125</v>
      </c>
      <c r="U10" s="5" t="s">
        <v>126</v>
      </c>
      <c r="V10" s="5" t="s">
        <v>127</v>
      </c>
      <c r="W10" s="5" t="s">
        <v>128</v>
      </c>
      <c r="X10" s="5" t="s">
        <v>129</v>
      </c>
      <c r="Y10" s="5" t="s">
        <v>130</v>
      </c>
      <c r="Z10" s="5" t="s">
        <v>131</v>
      </c>
      <c r="AA10" s="5" t="s">
        <v>132</v>
      </c>
      <c r="AB10" s="5" t="s">
        <v>133</v>
      </c>
      <c r="AC10" s="5" t="s">
        <v>134</v>
      </c>
      <c r="AD10" s="5" t="s">
        <v>135</v>
      </c>
      <c r="AE10" s="5" t="s">
        <v>136</v>
      </c>
      <c r="AF10" s="5" t="s">
        <v>137</v>
      </c>
    </row>
    <row r="11" customFormat="false" ht="27.75" hidden="false" customHeight="true" outlineLevel="0" collapsed="false">
      <c r="C11" s="43" t="n">
        <v>1</v>
      </c>
      <c r="D11" s="44" t="s">
        <v>138</v>
      </c>
      <c r="E11" s="44" t="s">
        <v>139</v>
      </c>
      <c r="F11" s="45" t="n">
        <v>360000</v>
      </c>
      <c r="G11" s="46" t="n">
        <v>36000</v>
      </c>
      <c r="H11" s="46" t="n">
        <v>12000</v>
      </c>
      <c r="I11" s="46" t="n">
        <v>20000</v>
      </c>
      <c r="J11" s="46" t="n">
        <v>24000</v>
      </c>
      <c r="K11" s="46" t="n">
        <v>72000</v>
      </c>
      <c r="L11" s="47" t="n">
        <f aca="false">SUM(F11:K11)</f>
        <v>524000</v>
      </c>
      <c r="M11" s="46" t="n">
        <v>524000</v>
      </c>
      <c r="N11" s="48" t="n">
        <f aca="false">L11-M11</f>
        <v>0</v>
      </c>
      <c r="O11" s="49" t="n">
        <f aca="false">F11/12*Supuestos!$D$9</f>
        <v>180000</v>
      </c>
      <c r="P11" s="50" t="n">
        <f aca="false">G11/12*Supuestos!$D$9</f>
        <v>18000</v>
      </c>
      <c r="Q11" s="50" t="n">
        <f aca="false">H11/12*Supuestos!$D$9</f>
        <v>6000</v>
      </c>
      <c r="R11" s="50" t="n">
        <f aca="false">I11/12*Supuestos!$D$9</f>
        <v>10000</v>
      </c>
      <c r="S11" s="50" t="n">
        <f aca="false">J11/12*Supuestos!$D$9</f>
        <v>12000</v>
      </c>
      <c r="T11" s="50" t="n">
        <f aca="false">K11/12*Supuestos!$D$9*Supuestos!$D$11</f>
        <v>0</v>
      </c>
      <c r="U11" s="51" t="n">
        <f aca="false">SUM(O11:T11)</f>
        <v>226000</v>
      </c>
      <c r="V11" s="52" t="s">
        <v>140</v>
      </c>
      <c r="W11" s="52" t="s">
        <v>74</v>
      </c>
      <c r="X11" s="52" t="s">
        <v>141</v>
      </c>
      <c r="Y11" s="53" t="str">
        <f aca="false">IF(X11="Automático",IF(W11="Caracas","Sí",IF(W11="Maracaibo","No",IF(W11="Otro","Sí","Por definir"))),X11)</f>
        <v>Por definir</v>
      </c>
      <c r="Z11" s="45" t="n">
        <v>0</v>
      </c>
      <c r="AA11" s="49" t="n">
        <f aca="false">IF(V11="Expatriado",L11/12*Supuestos!$D$10,IF(V11="Repatriado",(F11+H11+J11+K11+IF(Y11="No",0,G11))/12*Supuestos!$D$10,0))</f>
        <v>262000</v>
      </c>
      <c r="AB11" s="51" t="n">
        <f aca="false">AA11+Z11</f>
        <v>262000</v>
      </c>
      <c r="AC11" s="51" t="n">
        <f aca="false">U11+AB11</f>
        <v>488000</v>
      </c>
      <c r="AD11" s="48" t="n">
        <f aca="false">M11-AC11</f>
        <v>36000</v>
      </c>
      <c r="AE11" s="48" t="n">
        <f aca="false">IF(V11="Expatriado",M11,IF(V11="Repatriado",F11+H11+J11+K11+IF(Y11="No",0,G11),0))</f>
        <v>524000</v>
      </c>
      <c r="AF11" s="54" t="str">
        <f aca="false">IF(V11="Por definir","Definir paquete",IF(W11="Por definir","Definir ciudad",IF(AND(V11="Repatriado",Y11="Por definir"),"Definir vivienda","Completo")))</f>
        <v>Definir ciudad</v>
      </c>
    </row>
    <row r="12" customFormat="false" ht="27.75" hidden="false" customHeight="true" outlineLevel="0" collapsed="false">
      <c r="C12" s="43" t="n">
        <v>2</v>
      </c>
      <c r="D12" s="44" t="s">
        <v>142</v>
      </c>
      <c r="E12" s="44" t="s">
        <v>143</v>
      </c>
      <c r="F12" s="45" t="n">
        <v>216000</v>
      </c>
      <c r="G12" s="46" t="n">
        <v>24000</v>
      </c>
      <c r="H12" s="46" t="n">
        <v>12000</v>
      </c>
      <c r="I12" s="46" t="n">
        <v>12000</v>
      </c>
      <c r="J12" s="46" t="n">
        <v>18000</v>
      </c>
      <c r="K12" s="46" t="n">
        <v>43200</v>
      </c>
      <c r="L12" s="47" t="n">
        <f aca="false">SUM(F12:K12)</f>
        <v>325200</v>
      </c>
      <c r="M12" s="46" t="n">
        <v>325200</v>
      </c>
      <c r="N12" s="48" t="n">
        <f aca="false">L12-M12</f>
        <v>0</v>
      </c>
      <c r="O12" s="49" t="n">
        <f aca="false">F12/12*Supuestos!$D$9</f>
        <v>108000</v>
      </c>
      <c r="P12" s="50" t="n">
        <f aca="false">G12/12*Supuestos!$D$9</f>
        <v>12000</v>
      </c>
      <c r="Q12" s="50" t="n">
        <f aca="false">H12/12*Supuestos!$D$9</f>
        <v>6000</v>
      </c>
      <c r="R12" s="50" t="n">
        <f aca="false">I12/12*Supuestos!$D$9</f>
        <v>6000</v>
      </c>
      <c r="S12" s="50" t="n">
        <f aca="false">J12/12*Supuestos!$D$9</f>
        <v>9000</v>
      </c>
      <c r="T12" s="50" t="n">
        <f aca="false">K12/12*Supuestos!$D$9*Supuestos!$D$11</f>
        <v>0</v>
      </c>
      <c r="U12" s="51" t="n">
        <f aca="false">SUM(O12:T12)</f>
        <v>141000</v>
      </c>
      <c r="V12" s="52" t="s">
        <v>140</v>
      </c>
      <c r="W12" s="52" t="s">
        <v>74</v>
      </c>
      <c r="X12" s="52" t="s">
        <v>141</v>
      </c>
      <c r="Y12" s="53" t="str">
        <f aca="false">IF(X12="Automático",IF(W12="Caracas","Sí",IF(W12="Maracaibo","No",IF(W12="Otro","Sí","Por definir"))),X12)</f>
        <v>Por definir</v>
      </c>
      <c r="Z12" s="45" t="n">
        <v>0</v>
      </c>
      <c r="AA12" s="49" t="n">
        <f aca="false">IF(V12="Expatriado",L12/12*Supuestos!$D$10,IF(V12="Repatriado",(F12+H12+J12+K12+IF(Y12="No",0,G12))/12*Supuestos!$D$10,0))</f>
        <v>162600</v>
      </c>
      <c r="AB12" s="51" t="n">
        <f aca="false">AA12+Z12</f>
        <v>162600</v>
      </c>
      <c r="AC12" s="51" t="n">
        <f aca="false">U12+AB12</f>
        <v>303600</v>
      </c>
      <c r="AD12" s="48" t="n">
        <f aca="false">M12-AC12</f>
        <v>21600</v>
      </c>
      <c r="AE12" s="48" t="n">
        <f aca="false">IF(V12="Expatriado",M12,IF(V12="Repatriado",F12+H12+J12+K12+IF(Y12="No",0,G12),0))</f>
        <v>325200</v>
      </c>
      <c r="AF12" s="54" t="str">
        <f aca="false">IF(V12="Por definir","Definir paquete",IF(W12="Por definir","Definir ciudad",IF(AND(V12="Repatriado",Y12="Por definir"),"Definir vivienda","Completo")))</f>
        <v>Definir ciudad</v>
      </c>
    </row>
    <row r="13" customFormat="false" ht="27.75" hidden="false" customHeight="true" outlineLevel="0" collapsed="false">
      <c r="C13" s="43" t="n">
        <v>3</v>
      </c>
      <c r="D13" s="44" t="s">
        <v>144</v>
      </c>
      <c r="E13" s="44" t="s">
        <v>145</v>
      </c>
      <c r="F13" s="45" t="n">
        <v>180000</v>
      </c>
      <c r="G13" s="46" t="n">
        <v>24000</v>
      </c>
      <c r="H13" s="46" t="n">
        <v>12000</v>
      </c>
      <c r="I13" s="46" t="n">
        <v>12000</v>
      </c>
      <c r="J13" s="46" t="n">
        <v>18000</v>
      </c>
      <c r="K13" s="46" t="n">
        <v>36000</v>
      </c>
      <c r="L13" s="47" t="n">
        <f aca="false">SUM(F13:K13)</f>
        <v>282000</v>
      </c>
      <c r="M13" s="46" t="n">
        <v>282000</v>
      </c>
      <c r="N13" s="48" t="n">
        <f aca="false">L13-M13</f>
        <v>0</v>
      </c>
      <c r="O13" s="49" t="n">
        <f aca="false">F13/12*Supuestos!$D$9</f>
        <v>90000</v>
      </c>
      <c r="P13" s="50" t="n">
        <f aca="false">G13/12*Supuestos!$D$9</f>
        <v>12000</v>
      </c>
      <c r="Q13" s="50" t="n">
        <f aca="false">H13/12*Supuestos!$D$9</f>
        <v>6000</v>
      </c>
      <c r="R13" s="50" t="n">
        <f aca="false">I13/12*Supuestos!$D$9</f>
        <v>6000</v>
      </c>
      <c r="S13" s="50" t="n">
        <f aca="false">J13/12*Supuestos!$D$9</f>
        <v>9000</v>
      </c>
      <c r="T13" s="50" t="n">
        <f aca="false">K13/12*Supuestos!$D$9*Supuestos!$D$11</f>
        <v>0</v>
      </c>
      <c r="U13" s="51" t="n">
        <f aca="false">SUM(O13:T13)</f>
        <v>123000</v>
      </c>
      <c r="V13" s="52" t="s">
        <v>140</v>
      </c>
      <c r="W13" s="52" t="s">
        <v>74</v>
      </c>
      <c r="X13" s="52" t="s">
        <v>141</v>
      </c>
      <c r="Y13" s="53" t="str">
        <f aca="false">IF(X13="Automático",IF(W13="Caracas","Sí",IF(W13="Maracaibo","No",IF(W13="Otro","Sí","Por definir"))),X13)</f>
        <v>Por definir</v>
      </c>
      <c r="Z13" s="45" t="n">
        <v>0</v>
      </c>
      <c r="AA13" s="49" t="n">
        <f aca="false">IF(V13="Expatriado",L13/12*Supuestos!$D$10,IF(V13="Repatriado",(F13+H13+J13+K13+IF(Y13="No",0,G13))/12*Supuestos!$D$10,0))</f>
        <v>141000</v>
      </c>
      <c r="AB13" s="51" t="n">
        <f aca="false">AA13+Z13</f>
        <v>141000</v>
      </c>
      <c r="AC13" s="51" t="n">
        <f aca="false">U13+AB13</f>
        <v>264000</v>
      </c>
      <c r="AD13" s="48" t="n">
        <f aca="false">M13-AC13</f>
        <v>18000</v>
      </c>
      <c r="AE13" s="48" t="n">
        <f aca="false">IF(V13="Expatriado",M13,IF(V13="Repatriado",F13+H13+J13+K13+IF(Y13="No",0,G13),0))</f>
        <v>282000</v>
      </c>
      <c r="AF13" s="54" t="str">
        <f aca="false">IF(V13="Por definir","Definir paquete",IF(W13="Por definir","Definir ciudad",IF(AND(V13="Repatriado",Y13="Por definir"),"Definir vivienda","Completo")))</f>
        <v>Definir ciudad</v>
      </c>
    </row>
    <row r="14" customFormat="false" ht="27.75" hidden="false" customHeight="true" outlineLevel="0" collapsed="false">
      <c r="C14" s="43" t="n">
        <v>4</v>
      </c>
      <c r="D14" s="44" t="s">
        <v>146</v>
      </c>
      <c r="E14" s="44" t="s">
        <v>147</v>
      </c>
      <c r="F14" s="45" t="n">
        <v>216000</v>
      </c>
      <c r="G14" s="46" t="n">
        <v>24000</v>
      </c>
      <c r="H14" s="46" t="n">
        <v>12000</v>
      </c>
      <c r="I14" s="46" t="n">
        <v>12000</v>
      </c>
      <c r="J14" s="46" t="n">
        <v>18000</v>
      </c>
      <c r="K14" s="46" t="n">
        <v>43200</v>
      </c>
      <c r="L14" s="47" t="n">
        <f aca="false">SUM(F14:K14)</f>
        <v>325200</v>
      </c>
      <c r="M14" s="46" t="n">
        <v>325200</v>
      </c>
      <c r="N14" s="48" t="n">
        <f aca="false">L14-M14</f>
        <v>0</v>
      </c>
      <c r="O14" s="49" t="n">
        <f aca="false">F14/12*Supuestos!$D$9</f>
        <v>108000</v>
      </c>
      <c r="P14" s="50" t="n">
        <f aca="false">G14/12*Supuestos!$D$9</f>
        <v>12000</v>
      </c>
      <c r="Q14" s="50" t="n">
        <f aca="false">H14/12*Supuestos!$D$9</f>
        <v>6000</v>
      </c>
      <c r="R14" s="50" t="n">
        <f aca="false">I14/12*Supuestos!$D$9</f>
        <v>6000</v>
      </c>
      <c r="S14" s="50" t="n">
        <f aca="false">J14/12*Supuestos!$D$9</f>
        <v>9000</v>
      </c>
      <c r="T14" s="50" t="n">
        <f aca="false">K14/12*Supuestos!$D$9*Supuestos!$D$11</f>
        <v>0</v>
      </c>
      <c r="U14" s="51" t="n">
        <f aca="false">SUM(O14:T14)</f>
        <v>141000</v>
      </c>
      <c r="V14" s="52" t="s">
        <v>140</v>
      </c>
      <c r="W14" s="52" t="s">
        <v>74</v>
      </c>
      <c r="X14" s="52" t="s">
        <v>141</v>
      </c>
      <c r="Y14" s="53" t="str">
        <f aca="false">IF(X14="Automático",IF(W14="Caracas","Sí",IF(W14="Maracaibo","No",IF(W14="Otro","Sí","Por definir"))),X14)</f>
        <v>Por definir</v>
      </c>
      <c r="Z14" s="45" t="n">
        <v>0</v>
      </c>
      <c r="AA14" s="49" t="n">
        <f aca="false">IF(V14="Expatriado",L14/12*Supuestos!$D$10,IF(V14="Repatriado",(F14+H14+J14+K14+IF(Y14="No",0,G14))/12*Supuestos!$D$10,0))</f>
        <v>162600</v>
      </c>
      <c r="AB14" s="51" t="n">
        <f aca="false">AA14+Z14</f>
        <v>162600</v>
      </c>
      <c r="AC14" s="51" t="n">
        <f aca="false">U14+AB14</f>
        <v>303600</v>
      </c>
      <c r="AD14" s="48" t="n">
        <f aca="false">M14-AC14</f>
        <v>21600</v>
      </c>
      <c r="AE14" s="48" t="n">
        <f aca="false">IF(V14="Expatriado",M14,IF(V14="Repatriado",F14+H14+J14+K14+IF(Y14="No",0,G14),0))</f>
        <v>325200</v>
      </c>
      <c r="AF14" s="54" t="str">
        <f aca="false">IF(V14="Por definir","Definir paquete",IF(W14="Por definir","Definir ciudad",IF(AND(V14="Repatriado",Y14="Por definir"),"Definir vivienda","Completo")))</f>
        <v>Definir ciudad</v>
      </c>
    </row>
    <row r="15" customFormat="false" ht="27.75" hidden="false" customHeight="true" outlineLevel="0" collapsed="false">
      <c r="C15" s="43" t="n">
        <v>5</v>
      </c>
      <c r="D15" s="44" t="s">
        <v>148</v>
      </c>
      <c r="E15" s="44" t="s">
        <v>149</v>
      </c>
      <c r="F15" s="45" t="n">
        <v>180000</v>
      </c>
      <c r="G15" s="46" t="n">
        <v>24000</v>
      </c>
      <c r="H15" s="46" t="n">
        <v>12000</v>
      </c>
      <c r="I15" s="46" t="n">
        <v>12000</v>
      </c>
      <c r="J15" s="46" t="n">
        <v>18000</v>
      </c>
      <c r="K15" s="46" t="n">
        <v>36000</v>
      </c>
      <c r="L15" s="47" t="n">
        <f aca="false">SUM(F15:K15)</f>
        <v>282000</v>
      </c>
      <c r="M15" s="46" t="n">
        <v>282000</v>
      </c>
      <c r="N15" s="48" t="n">
        <f aca="false">L15-M15</f>
        <v>0</v>
      </c>
      <c r="O15" s="49" t="n">
        <f aca="false">F15/12*Supuestos!$D$9</f>
        <v>90000</v>
      </c>
      <c r="P15" s="50" t="n">
        <f aca="false">G15/12*Supuestos!$D$9</f>
        <v>12000</v>
      </c>
      <c r="Q15" s="50" t="n">
        <f aca="false">H15/12*Supuestos!$D$9</f>
        <v>6000</v>
      </c>
      <c r="R15" s="50" t="n">
        <f aca="false">I15/12*Supuestos!$D$9</f>
        <v>6000</v>
      </c>
      <c r="S15" s="50" t="n">
        <f aca="false">J15/12*Supuestos!$D$9</f>
        <v>9000</v>
      </c>
      <c r="T15" s="50" t="n">
        <f aca="false">K15/12*Supuestos!$D$9*Supuestos!$D$11</f>
        <v>0</v>
      </c>
      <c r="U15" s="51" t="n">
        <f aca="false">SUM(O15:T15)</f>
        <v>123000</v>
      </c>
      <c r="V15" s="52" t="s">
        <v>140</v>
      </c>
      <c r="W15" s="52" t="s">
        <v>74</v>
      </c>
      <c r="X15" s="52" t="s">
        <v>141</v>
      </c>
      <c r="Y15" s="53" t="str">
        <f aca="false">IF(X15="Automático",IF(W15="Caracas","Sí",IF(W15="Maracaibo","No",IF(W15="Otro","Sí","Por definir"))),X15)</f>
        <v>Por definir</v>
      </c>
      <c r="Z15" s="45" t="n">
        <v>0</v>
      </c>
      <c r="AA15" s="49" t="n">
        <f aca="false">IF(V15="Expatriado",L15/12*Supuestos!$D$10,IF(V15="Repatriado",(F15+H15+J15+K15+IF(Y15="No",0,G15))/12*Supuestos!$D$10,0))</f>
        <v>141000</v>
      </c>
      <c r="AB15" s="51" t="n">
        <f aca="false">AA15+Z15</f>
        <v>141000</v>
      </c>
      <c r="AC15" s="51" t="n">
        <f aca="false">U15+AB15</f>
        <v>264000</v>
      </c>
      <c r="AD15" s="48" t="n">
        <f aca="false">M15-AC15</f>
        <v>18000</v>
      </c>
      <c r="AE15" s="48" t="n">
        <f aca="false">IF(V15="Expatriado",M15,IF(V15="Repatriado",F15+H15+J15+K15+IF(Y15="No",0,G15),0))</f>
        <v>282000</v>
      </c>
      <c r="AF15" s="54" t="str">
        <f aca="false">IF(V15="Por definir","Definir paquete",IF(W15="Por definir","Definir ciudad",IF(AND(V15="Repatriado",Y15="Por definir"),"Definir vivienda","Completo")))</f>
        <v>Definir ciudad</v>
      </c>
    </row>
    <row r="16" customFormat="false" ht="27.75" hidden="false" customHeight="true" outlineLevel="0" collapsed="false">
      <c r="C16" s="43" t="n">
        <v>6</v>
      </c>
      <c r="D16" s="44" t="s">
        <v>150</v>
      </c>
      <c r="E16" s="44" t="s">
        <v>151</v>
      </c>
      <c r="F16" s="45" t="n">
        <v>120000</v>
      </c>
      <c r="G16" s="46" t="n">
        <v>18000</v>
      </c>
      <c r="H16" s="46" t="n">
        <v>12000</v>
      </c>
      <c r="I16" s="46" t="n">
        <v>12000</v>
      </c>
      <c r="J16" s="46" t="n">
        <v>12000</v>
      </c>
      <c r="K16" s="46" t="n">
        <v>20000</v>
      </c>
      <c r="L16" s="47" t="n">
        <f aca="false">SUM(F16:K16)</f>
        <v>194000</v>
      </c>
      <c r="M16" s="46" t="n">
        <v>194000</v>
      </c>
      <c r="N16" s="48" t="n">
        <f aca="false">L16-M16</f>
        <v>0</v>
      </c>
      <c r="O16" s="49" t="n">
        <f aca="false">F16/12*Supuestos!$D$9</f>
        <v>60000</v>
      </c>
      <c r="P16" s="50" t="n">
        <f aca="false">G16/12*Supuestos!$D$9</f>
        <v>9000</v>
      </c>
      <c r="Q16" s="50" t="n">
        <f aca="false">H16/12*Supuestos!$D$9</f>
        <v>6000</v>
      </c>
      <c r="R16" s="50" t="n">
        <f aca="false">I16/12*Supuestos!$D$9</f>
        <v>6000</v>
      </c>
      <c r="S16" s="50" t="n">
        <f aca="false">J16/12*Supuestos!$D$9</f>
        <v>6000</v>
      </c>
      <c r="T16" s="50" t="n">
        <f aca="false">K16/12*Supuestos!$D$9*Supuestos!$D$11</f>
        <v>0</v>
      </c>
      <c r="U16" s="51" t="n">
        <f aca="false">SUM(O16:T16)</f>
        <v>87000</v>
      </c>
      <c r="V16" s="52" t="s">
        <v>140</v>
      </c>
      <c r="W16" s="52" t="s">
        <v>74</v>
      </c>
      <c r="X16" s="52" t="s">
        <v>141</v>
      </c>
      <c r="Y16" s="53" t="str">
        <f aca="false">IF(X16="Automático",IF(W16="Caracas","Sí",IF(W16="Maracaibo","No",IF(W16="Otro","Sí","Por definir"))),X16)</f>
        <v>Por definir</v>
      </c>
      <c r="Z16" s="45" t="n">
        <v>0</v>
      </c>
      <c r="AA16" s="49" t="n">
        <f aca="false">IF(V16="Expatriado",L16/12*Supuestos!$D$10,IF(V16="Repatriado",(F16+H16+J16+K16+IF(Y16="No",0,G16))/12*Supuestos!$D$10,0))</f>
        <v>97000</v>
      </c>
      <c r="AB16" s="51" t="n">
        <f aca="false">AA16+Z16</f>
        <v>97000</v>
      </c>
      <c r="AC16" s="51" t="n">
        <f aca="false">U16+AB16</f>
        <v>184000</v>
      </c>
      <c r="AD16" s="48" t="n">
        <f aca="false">M16-AC16</f>
        <v>10000</v>
      </c>
      <c r="AE16" s="48" t="n">
        <f aca="false">IF(V16="Expatriado",M16,IF(V16="Repatriado",F16+H16+J16+K16+IF(Y16="No",0,G16),0))</f>
        <v>194000</v>
      </c>
      <c r="AF16" s="54" t="str">
        <f aca="false">IF(V16="Por definir","Definir paquete",IF(W16="Por definir","Definir ciudad",IF(AND(V16="Repatriado",Y16="Por definir"),"Definir vivienda","Completo")))</f>
        <v>Definir ciudad</v>
      </c>
    </row>
    <row r="17" customFormat="false" ht="27.75" hidden="false" customHeight="true" outlineLevel="0" collapsed="false">
      <c r="C17" s="43" t="n">
        <v>7</v>
      </c>
      <c r="D17" s="44" t="s">
        <v>152</v>
      </c>
      <c r="E17" s="44" t="s">
        <v>153</v>
      </c>
      <c r="F17" s="45" t="n">
        <v>180000</v>
      </c>
      <c r="G17" s="46" t="n">
        <v>24000</v>
      </c>
      <c r="H17" s="46" t="n">
        <v>12000</v>
      </c>
      <c r="I17" s="46" t="n">
        <v>12000</v>
      </c>
      <c r="J17" s="46" t="n">
        <v>18000</v>
      </c>
      <c r="K17" s="46" t="n">
        <v>36000</v>
      </c>
      <c r="L17" s="47" t="n">
        <f aca="false">SUM(F17:K17)</f>
        <v>282000</v>
      </c>
      <c r="M17" s="46" t="n">
        <v>282000</v>
      </c>
      <c r="N17" s="48" t="n">
        <f aca="false">L17-M17</f>
        <v>0</v>
      </c>
      <c r="O17" s="49" t="n">
        <f aca="false">F17/12*Supuestos!$D$9</f>
        <v>90000</v>
      </c>
      <c r="P17" s="50" t="n">
        <f aca="false">G17/12*Supuestos!$D$9</f>
        <v>12000</v>
      </c>
      <c r="Q17" s="50" t="n">
        <f aca="false">H17/12*Supuestos!$D$9</f>
        <v>6000</v>
      </c>
      <c r="R17" s="50" t="n">
        <f aca="false">I17/12*Supuestos!$D$9</f>
        <v>6000</v>
      </c>
      <c r="S17" s="50" t="n">
        <f aca="false">J17/12*Supuestos!$D$9</f>
        <v>9000</v>
      </c>
      <c r="T17" s="50" t="n">
        <f aca="false">K17/12*Supuestos!$D$9*Supuestos!$D$11</f>
        <v>0</v>
      </c>
      <c r="U17" s="51" t="n">
        <f aca="false">SUM(O17:T17)</f>
        <v>123000</v>
      </c>
      <c r="V17" s="52" t="s">
        <v>140</v>
      </c>
      <c r="W17" s="52" t="s">
        <v>74</v>
      </c>
      <c r="X17" s="52" t="s">
        <v>141</v>
      </c>
      <c r="Y17" s="53" t="str">
        <f aca="false">IF(X17="Automático",IF(W17="Caracas","Sí",IF(W17="Maracaibo","No",IF(W17="Otro","Sí","Por definir"))),X17)</f>
        <v>Por definir</v>
      </c>
      <c r="Z17" s="45" t="n">
        <v>0</v>
      </c>
      <c r="AA17" s="49" t="n">
        <f aca="false">IF(V17="Expatriado",L17/12*Supuestos!$D$10,IF(V17="Repatriado",(F17+H17+J17+K17+IF(Y17="No",0,G17))/12*Supuestos!$D$10,0))</f>
        <v>141000</v>
      </c>
      <c r="AB17" s="51" t="n">
        <f aca="false">AA17+Z17</f>
        <v>141000</v>
      </c>
      <c r="AC17" s="51" t="n">
        <f aca="false">U17+AB17</f>
        <v>264000</v>
      </c>
      <c r="AD17" s="48" t="n">
        <f aca="false">M17-AC17</f>
        <v>18000</v>
      </c>
      <c r="AE17" s="48" t="n">
        <f aca="false">IF(V17="Expatriado",M17,IF(V17="Repatriado",F17+H17+J17+K17+IF(Y17="No",0,G17),0))</f>
        <v>282000</v>
      </c>
      <c r="AF17" s="54" t="str">
        <f aca="false">IF(V17="Por definir","Definir paquete",IF(W17="Por definir","Definir ciudad",IF(AND(V17="Repatriado",Y17="Por definir"),"Definir vivienda","Completo")))</f>
        <v>Definir ciudad</v>
      </c>
    </row>
    <row r="18" customFormat="false" ht="27.75" hidden="false" customHeight="true" outlineLevel="0" collapsed="false">
      <c r="C18" s="43" t="n">
        <v>8</v>
      </c>
      <c r="D18" s="44" t="s">
        <v>154</v>
      </c>
      <c r="E18" s="44" t="s">
        <v>155</v>
      </c>
      <c r="F18" s="45" t="n">
        <v>48000</v>
      </c>
      <c r="G18" s="46" t="n">
        <v>12000</v>
      </c>
      <c r="H18" s="46" t="n">
        <v>8000</v>
      </c>
      <c r="I18" s="46" t="n">
        <v>0</v>
      </c>
      <c r="J18" s="46" t="n">
        <v>7200</v>
      </c>
      <c r="K18" s="46" t="n">
        <v>12000</v>
      </c>
      <c r="L18" s="47" t="n">
        <f aca="false">SUM(F18:K18)</f>
        <v>87200</v>
      </c>
      <c r="M18" s="46" t="n">
        <v>87200</v>
      </c>
      <c r="N18" s="48" t="n">
        <f aca="false">L18-M18</f>
        <v>0</v>
      </c>
      <c r="O18" s="49" t="n">
        <f aca="false">F18/12*Supuestos!$D$9</f>
        <v>24000</v>
      </c>
      <c r="P18" s="50" t="n">
        <f aca="false">G18/12*Supuestos!$D$9</f>
        <v>6000</v>
      </c>
      <c r="Q18" s="50" t="n">
        <f aca="false">H18/12*Supuestos!$D$9</f>
        <v>4000</v>
      </c>
      <c r="R18" s="50" t="n">
        <f aca="false">I18/12*Supuestos!$D$9</f>
        <v>0</v>
      </c>
      <c r="S18" s="50" t="n">
        <f aca="false">J18/12*Supuestos!$D$9</f>
        <v>3600</v>
      </c>
      <c r="T18" s="50" t="n">
        <f aca="false">K18/12*Supuestos!$D$9*Supuestos!$D$11</f>
        <v>0</v>
      </c>
      <c r="U18" s="51" t="n">
        <f aca="false">SUM(O18:T18)</f>
        <v>37600</v>
      </c>
      <c r="V18" s="52" t="s">
        <v>140</v>
      </c>
      <c r="W18" s="52" t="s">
        <v>74</v>
      </c>
      <c r="X18" s="52" t="s">
        <v>141</v>
      </c>
      <c r="Y18" s="53" t="str">
        <f aca="false">IF(X18="Automático",IF(W18="Caracas","Sí",IF(W18="Maracaibo","No",IF(W18="Otro","Sí","Por definir"))),X18)</f>
        <v>Por definir</v>
      </c>
      <c r="Z18" s="45" t="n">
        <v>0</v>
      </c>
      <c r="AA18" s="49" t="n">
        <f aca="false">IF(V18="Expatriado",L18/12*Supuestos!$D$10,IF(V18="Repatriado",(F18+H18+J18+K18+IF(Y18="No",0,G18))/12*Supuestos!$D$10,0))</f>
        <v>43600</v>
      </c>
      <c r="AB18" s="51" t="n">
        <f aca="false">AA18+Z18</f>
        <v>43600</v>
      </c>
      <c r="AC18" s="51" t="n">
        <f aca="false">U18+AB18</f>
        <v>81200</v>
      </c>
      <c r="AD18" s="48" t="n">
        <f aca="false">M18-AC18</f>
        <v>6000</v>
      </c>
      <c r="AE18" s="48" t="n">
        <f aca="false">IF(V18="Expatriado",M18,IF(V18="Repatriado",F18+H18+J18+K18+IF(Y18="No",0,G18),0))</f>
        <v>87200</v>
      </c>
      <c r="AF18" s="54" t="str">
        <f aca="false">IF(V18="Por definir","Definir paquete",IF(W18="Por definir","Definir ciudad",IF(AND(V18="Repatriado",Y18="Por definir"),"Definir vivienda","Completo")))</f>
        <v>Definir ciudad</v>
      </c>
    </row>
    <row r="19" customFormat="false" ht="27.75" hidden="false" customHeight="true" outlineLevel="0" collapsed="false">
      <c r="C19" s="43" t="n">
        <v>9</v>
      </c>
      <c r="D19" s="44" t="s">
        <v>156</v>
      </c>
      <c r="E19" s="44" t="s">
        <v>157</v>
      </c>
      <c r="F19" s="45" t="n">
        <v>48000</v>
      </c>
      <c r="G19" s="46" t="n">
        <v>12000</v>
      </c>
      <c r="H19" s="46" t="n">
        <v>8000</v>
      </c>
      <c r="I19" s="46" t="n">
        <v>12000</v>
      </c>
      <c r="J19" s="46" t="n">
        <v>7200</v>
      </c>
      <c r="K19" s="46" t="n">
        <v>8000</v>
      </c>
      <c r="L19" s="47" t="n">
        <f aca="false">SUM(F19:K19)</f>
        <v>95200</v>
      </c>
      <c r="M19" s="46" t="n">
        <v>95200</v>
      </c>
      <c r="N19" s="48" t="n">
        <f aca="false">L19-M19</f>
        <v>0</v>
      </c>
      <c r="O19" s="49" t="n">
        <f aca="false">F19/12*Supuestos!$D$9</f>
        <v>24000</v>
      </c>
      <c r="P19" s="50" t="n">
        <f aca="false">G19/12*Supuestos!$D$9</f>
        <v>6000</v>
      </c>
      <c r="Q19" s="50" t="n">
        <f aca="false">H19/12*Supuestos!$D$9</f>
        <v>4000</v>
      </c>
      <c r="R19" s="50" t="n">
        <f aca="false">I19/12*Supuestos!$D$9</f>
        <v>6000</v>
      </c>
      <c r="S19" s="50" t="n">
        <f aca="false">J19/12*Supuestos!$D$9</f>
        <v>3600</v>
      </c>
      <c r="T19" s="50" t="n">
        <f aca="false">K19/12*Supuestos!$D$9*Supuestos!$D$11</f>
        <v>0</v>
      </c>
      <c r="U19" s="51" t="n">
        <f aca="false">SUM(O19:T19)</f>
        <v>43600</v>
      </c>
      <c r="V19" s="52" t="s">
        <v>140</v>
      </c>
      <c r="W19" s="52" t="s">
        <v>74</v>
      </c>
      <c r="X19" s="52" t="s">
        <v>141</v>
      </c>
      <c r="Y19" s="53" t="str">
        <f aca="false">IF(X19="Automático",IF(W19="Caracas","Sí",IF(W19="Maracaibo","No",IF(W19="Otro","Sí","Por definir"))),X19)</f>
        <v>Por definir</v>
      </c>
      <c r="Z19" s="45" t="n">
        <v>0</v>
      </c>
      <c r="AA19" s="49" t="n">
        <f aca="false">IF(V19="Expatriado",L19/12*Supuestos!$D$10,IF(V19="Repatriado",(F19+H19+J19+K19+IF(Y19="No",0,G19))/12*Supuestos!$D$10,0))</f>
        <v>47600</v>
      </c>
      <c r="AB19" s="51" t="n">
        <f aca="false">AA19+Z19</f>
        <v>47600</v>
      </c>
      <c r="AC19" s="51" t="n">
        <f aca="false">U19+AB19</f>
        <v>91200</v>
      </c>
      <c r="AD19" s="48" t="n">
        <f aca="false">M19-AC19</f>
        <v>4000</v>
      </c>
      <c r="AE19" s="48" t="n">
        <f aca="false">IF(V19="Expatriado",M19,IF(V19="Repatriado",F19+H19+J19+K19+IF(Y19="No",0,G19),0))</f>
        <v>95200</v>
      </c>
      <c r="AF19" s="54" t="str">
        <f aca="false">IF(V19="Por definir","Definir paquete",IF(W19="Por definir","Definir ciudad",IF(AND(V19="Repatriado",Y19="Por definir"),"Definir vivienda","Completo")))</f>
        <v>Definir ciudad</v>
      </c>
    </row>
    <row r="21" customFormat="false" ht="24" hidden="false" customHeight="true" outlineLevel="0" collapsed="false">
      <c r="C21" s="55"/>
      <c r="D21" s="56" t="s">
        <v>158</v>
      </c>
      <c r="E21" s="56"/>
      <c r="F21" s="57" t="n">
        <f aca="false">SUM(F11:F19)</f>
        <v>1548000</v>
      </c>
      <c r="G21" s="58" t="n">
        <f aca="false">SUM(G11:G19)</f>
        <v>198000</v>
      </c>
      <c r="H21" s="58" t="n">
        <f aca="false">SUM(H11:H19)</f>
        <v>100000</v>
      </c>
      <c r="I21" s="58" t="n">
        <f aca="false">SUM(I11:I19)</f>
        <v>104000</v>
      </c>
      <c r="J21" s="58" t="n">
        <f aca="false">SUM(J11:J19)</f>
        <v>140400</v>
      </c>
      <c r="K21" s="58" t="n">
        <f aca="false">SUM(K11:K19)</f>
        <v>306400</v>
      </c>
      <c r="L21" s="58" t="n">
        <f aca="false">SUM(L11:L19)</f>
        <v>2396800</v>
      </c>
      <c r="M21" s="58" t="n">
        <f aca="false">SUM(M11:M19)</f>
        <v>2396800</v>
      </c>
      <c r="N21" s="58" t="n">
        <f aca="false">SUM(N11:N19)</f>
        <v>0</v>
      </c>
      <c r="O21" s="57" t="n">
        <f aca="false">SUM(O11:O19)</f>
        <v>774000</v>
      </c>
      <c r="P21" s="58" t="n">
        <f aca="false">SUM(P11:P19)</f>
        <v>99000</v>
      </c>
      <c r="Q21" s="58" t="n">
        <f aca="false">SUM(Q11:Q19)</f>
        <v>50000</v>
      </c>
      <c r="R21" s="58" t="n">
        <f aca="false">SUM(R11:R19)</f>
        <v>52000</v>
      </c>
      <c r="S21" s="58" t="n">
        <f aca="false">SUM(S11:S19)</f>
        <v>70200</v>
      </c>
      <c r="T21" s="58" t="n">
        <f aca="false">SUM(T11:T19)</f>
        <v>0</v>
      </c>
      <c r="U21" s="58" t="n">
        <f aca="false">SUM(U11:U19)</f>
        <v>1045200</v>
      </c>
      <c r="V21" s="55"/>
      <c r="W21" s="55"/>
      <c r="X21" s="55"/>
      <c r="Y21" s="55"/>
      <c r="Z21" s="57" t="n">
        <f aca="false">SUM(Z11:Z19)</f>
        <v>0</v>
      </c>
      <c r="AA21" s="58" t="n">
        <f aca="false">SUM(AA11:AA19)</f>
        <v>1198400</v>
      </c>
      <c r="AB21" s="58" t="n">
        <f aca="false">SUM(AB11:AB19)</f>
        <v>1198400</v>
      </c>
      <c r="AC21" s="58" t="n">
        <f aca="false">SUM(AC11:AC19)</f>
        <v>2243600</v>
      </c>
      <c r="AD21" s="58" t="n">
        <f aca="false">SUM(AD11:AD19)</f>
        <v>153200</v>
      </c>
      <c r="AE21" s="58" t="n">
        <f aca="false">SUM(AE11:AE19)</f>
        <v>2396800</v>
      </c>
      <c r="AF21" s="55"/>
    </row>
  </sheetData>
  <autoFilter ref="C10:AF19"/>
  <mergeCells count="3">
    <mergeCell ref="C3:AF3"/>
    <mergeCell ref="C8:AF8"/>
    <mergeCell ref="D21:E21"/>
  </mergeCells>
  <conditionalFormatting sqref="AF11:AF19">
    <cfRule type="expression" priority="2" aboveAverage="0" equalAverage="0" bottom="0" percent="0" rank="0" text="" dxfId="7">
      <formula>AF11&lt;&gt;"Completo"</formula>
    </cfRule>
  </conditionalFormatting>
  <dataValidations count="3">
    <dataValidation allowBlank="false" errorStyle="stop" operator="between" showDropDown="false" showErrorMessage="false" showInputMessage="false" sqref="V11:V19" type="list">
      <formula1>"Expatriado,Repatriado,Por definir"</formula1>
      <formula2>0</formula2>
    </dataValidation>
    <dataValidation allowBlank="false" errorStyle="stop" operator="between" showDropDown="false" showErrorMessage="false" showInputMessage="false" sqref="W11:W19" type="list">
      <formula1>"Caracas,Maracaibo,Otro,Por definir"</formula1>
      <formula2>0</formula2>
    </dataValidation>
    <dataValidation allowBlank="false" errorStyle="stop" operator="between" showDropDown="false" showErrorMessage="false" showInputMessage="false" sqref="X11:X19" type="list">
      <formula1>"Automático,Sí,No"</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&amp;K666666Personal | Página &amp;P de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22"/>
    <col collapsed="false" customWidth="true" hidden="false" outlineLevel="0" max="11" min="4" style="0" width="12"/>
  </cols>
  <sheetData>
    <row r="3" customFormat="false" ht="24.75" hidden="false" customHeight="true" outlineLevel="0" collapsed="false">
      <c r="C3" s="1" t="s">
        <v>159</v>
      </c>
      <c r="D3" s="1"/>
      <c r="E3" s="1"/>
      <c r="F3" s="1"/>
      <c r="G3" s="1"/>
      <c r="H3" s="1"/>
      <c r="I3" s="1"/>
      <c r="J3" s="1"/>
      <c r="K3" s="1"/>
    </row>
    <row r="5" customFormat="false" ht="15" hidden="false" customHeight="false" outlineLevel="0" collapsed="false">
      <c r="C5" s="2" t="s">
        <v>160</v>
      </c>
    </row>
    <row r="6" customFormat="false" ht="15" hidden="false" customHeight="false" outlineLevel="0" collapsed="false">
      <c r="C6" s="3" t="s">
        <v>161</v>
      </c>
    </row>
    <row r="8" customFormat="false" ht="19.5" hidden="false" customHeight="true" outlineLevel="0" collapsed="false">
      <c r="C8" s="4" t="s">
        <v>162</v>
      </c>
      <c r="D8" s="4"/>
      <c r="E8" s="4"/>
      <c r="F8" s="4"/>
      <c r="G8" s="4"/>
      <c r="H8" s="4"/>
      <c r="I8" s="4"/>
      <c r="J8" s="4"/>
      <c r="K8" s="4"/>
    </row>
    <row r="9" customFormat="false" ht="24" hidden="false" customHeight="true" outlineLevel="0" collapsed="false">
      <c r="C9" s="31" t="s">
        <v>163</v>
      </c>
      <c r="D9" s="31"/>
      <c r="E9" s="31"/>
      <c r="F9" s="31"/>
      <c r="G9" s="31"/>
      <c r="H9" s="31"/>
      <c r="I9" s="31"/>
      <c r="J9" s="31"/>
      <c r="K9" s="31"/>
    </row>
    <row r="10" customFormat="false" ht="24" hidden="false" customHeight="true" outlineLevel="0" collapsed="false">
      <c r="C10" s="31" t="s">
        <v>164</v>
      </c>
      <c r="D10" s="31"/>
      <c r="E10" s="31"/>
      <c r="F10" s="31"/>
      <c r="G10" s="31"/>
      <c r="H10" s="31"/>
      <c r="I10" s="31"/>
      <c r="J10" s="31"/>
      <c r="K10" s="31"/>
    </row>
    <row r="11" customFormat="false" ht="24" hidden="false" customHeight="true" outlineLevel="0" collapsed="false">
      <c r="C11" s="31" t="s">
        <v>165</v>
      </c>
      <c r="D11" s="31"/>
      <c r="E11" s="31"/>
      <c r="F11" s="31"/>
      <c r="G11" s="31"/>
      <c r="H11" s="31"/>
      <c r="I11" s="31"/>
      <c r="J11" s="31"/>
      <c r="K11" s="31"/>
    </row>
    <row r="12" customFormat="false" ht="24" hidden="false" customHeight="true" outlineLevel="0" collapsed="false">
      <c r="C12" s="31" t="s">
        <v>166</v>
      </c>
      <c r="D12" s="31"/>
      <c r="E12" s="31"/>
      <c r="F12" s="31"/>
      <c r="G12" s="31"/>
      <c r="H12" s="31"/>
      <c r="I12" s="31"/>
      <c r="J12" s="31"/>
      <c r="K12" s="31"/>
    </row>
    <row r="14" customFormat="false" ht="19.5" hidden="false" customHeight="true" outlineLevel="0" collapsed="false">
      <c r="C14" s="4" t="s">
        <v>167</v>
      </c>
      <c r="D14" s="4"/>
      <c r="E14" s="4"/>
      <c r="F14" s="4"/>
      <c r="G14" s="4"/>
      <c r="H14" s="4"/>
      <c r="I14" s="4"/>
      <c r="J14" s="4"/>
      <c r="K14" s="4"/>
    </row>
    <row r="15" customFormat="false" ht="24" hidden="false" customHeight="true" outlineLevel="0" collapsed="false">
      <c r="C15" s="31" t="s">
        <v>168</v>
      </c>
      <c r="D15" s="31"/>
      <c r="E15" s="31"/>
      <c r="F15" s="31"/>
      <c r="G15" s="31"/>
      <c r="H15" s="31"/>
      <c r="I15" s="31"/>
      <c r="J15" s="31"/>
      <c r="K15" s="31"/>
    </row>
    <row r="16" customFormat="false" ht="24" hidden="false" customHeight="true" outlineLevel="0" collapsed="false">
      <c r="C16" s="31" t="s">
        <v>169</v>
      </c>
      <c r="D16" s="31"/>
      <c r="E16" s="31"/>
      <c r="F16" s="31"/>
      <c r="G16" s="31"/>
      <c r="H16" s="31"/>
      <c r="I16" s="31"/>
      <c r="J16" s="31"/>
      <c r="K16" s="31"/>
    </row>
    <row r="17" customFormat="false" ht="24" hidden="false" customHeight="true" outlineLevel="0" collapsed="false">
      <c r="C17" s="31" t="s">
        <v>170</v>
      </c>
      <c r="D17" s="31"/>
      <c r="E17" s="31"/>
      <c r="F17" s="31"/>
      <c r="G17" s="31"/>
      <c r="H17" s="31"/>
      <c r="I17" s="31"/>
      <c r="J17" s="31"/>
      <c r="K17" s="31"/>
    </row>
    <row r="18" customFormat="false" ht="33.75" hidden="false" customHeight="true" outlineLevel="0" collapsed="false">
      <c r="C18" s="31" t="s">
        <v>171</v>
      </c>
      <c r="D18" s="31"/>
      <c r="E18" s="31"/>
      <c r="F18" s="31"/>
      <c r="G18" s="31"/>
      <c r="H18" s="31"/>
      <c r="I18" s="31"/>
      <c r="J18" s="31"/>
      <c r="K18" s="31"/>
    </row>
    <row r="19" customFormat="false" ht="24" hidden="false" customHeight="true" outlineLevel="0" collapsed="false">
      <c r="C19" s="31" t="s">
        <v>172</v>
      </c>
      <c r="D19" s="31"/>
      <c r="E19" s="31"/>
      <c r="F19" s="31"/>
      <c r="G19" s="31"/>
      <c r="H19" s="31"/>
      <c r="I19" s="31"/>
      <c r="J19" s="31"/>
      <c r="K19" s="31"/>
    </row>
    <row r="21" customFormat="false" ht="19.5" hidden="false" customHeight="true" outlineLevel="0" collapsed="false">
      <c r="C21" s="4" t="s">
        <v>173</v>
      </c>
      <c r="D21" s="4"/>
      <c r="E21" s="4"/>
      <c r="F21" s="4"/>
      <c r="G21" s="4"/>
      <c r="H21" s="4"/>
      <c r="I21" s="4"/>
      <c r="J21" s="4"/>
      <c r="K21" s="4"/>
    </row>
    <row r="22" customFormat="false" ht="24" hidden="false" customHeight="true" outlineLevel="0" collapsed="false">
      <c r="C22" s="31" t="s">
        <v>174</v>
      </c>
      <c r="D22" s="31"/>
      <c r="E22" s="31"/>
      <c r="F22" s="31"/>
      <c r="G22" s="31"/>
      <c r="H22" s="31"/>
      <c r="I22" s="31"/>
      <c r="J22" s="31"/>
      <c r="K22" s="31"/>
    </row>
    <row r="23" customFormat="false" ht="33.75" hidden="false" customHeight="true" outlineLevel="0" collapsed="false">
      <c r="C23" s="31" t="s">
        <v>175</v>
      </c>
      <c r="D23" s="31"/>
      <c r="E23" s="31"/>
      <c r="F23" s="31"/>
      <c r="G23" s="31"/>
      <c r="H23" s="31"/>
      <c r="I23" s="31"/>
      <c r="J23" s="31"/>
      <c r="K23" s="31"/>
    </row>
    <row r="24" customFormat="false" ht="24" hidden="false" customHeight="true" outlineLevel="0" collapsed="false">
      <c r="C24" s="31" t="s">
        <v>176</v>
      </c>
      <c r="D24" s="31"/>
      <c r="E24" s="31"/>
      <c r="F24" s="31"/>
      <c r="G24" s="31"/>
      <c r="H24" s="31"/>
      <c r="I24" s="31"/>
      <c r="J24" s="31"/>
      <c r="K24" s="31"/>
    </row>
    <row r="26" customFormat="false" ht="19.5" hidden="false" customHeight="true" outlineLevel="0" collapsed="false">
      <c r="C26" s="4" t="s">
        <v>177</v>
      </c>
      <c r="D26" s="4"/>
      <c r="E26" s="4"/>
      <c r="F26" s="4"/>
      <c r="G26" s="4"/>
      <c r="H26" s="4"/>
      <c r="I26" s="4"/>
      <c r="J26" s="4"/>
      <c r="K26" s="4"/>
    </row>
    <row r="27" customFormat="false" ht="33.75" hidden="false" customHeight="true" outlineLevel="0" collapsed="false">
      <c r="C27" s="31" t="s">
        <v>178</v>
      </c>
      <c r="D27" s="31"/>
      <c r="E27" s="31"/>
      <c r="F27" s="31"/>
      <c r="G27" s="31"/>
      <c r="H27" s="31"/>
      <c r="I27" s="31"/>
      <c r="J27" s="31"/>
      <c r="K27" s="31"/>
    </row>
    <row r="28" customFormat="false" ht="24" hidden="false" customHeight="true" outlineLevel="0" collapsed="false">
      <c r="C28" s="31" t="s">
        <v>179</v>
      </c>
      <c r="D28" s="31"/>
      <c r="E28" s="31"/>
      <c r="F28" s="31"/>
      <c r="G28" s="31"/>
      <c r="H28" s="31"/>
      <c r="I28" s="31"/>
      <c r="J28" s="31"/>
      <c r="K28" s="31"/>
    </row>
    <row r="30" customFormat="false" ht="19.5" hidden="false" customHeight="true" outlineLevel="0" collapsed="false">
      <c r="C30" s="4" t="s">
        <v>180</v>
      </c>
      <c r="D30" s="4"/>
      <c r="E30" s="4"/>
      <c r="F30" s="4"/>
      <c r="G30" s="4"/>
      <c r="H30" s="4"/>
      <c r="I30" s="4"/>
      <c r="J30" s="4"/>
      <c r="K30" s="4"/>
    </row>
    <row r="31" customFormat="false" ht="15" hidden="false" customHeight="true" outlineLevel="0" collapsed="false">
      <c r="C31" s="42" t="s">
        <v>181</v>
      </c>
      <c r="D31" s="42"/>
      <c r="E31" s="42"/>
      <c r="F31" s="42"/>
      <c r="G31" s="42"/>
      <c r="H31" s="42"/>
      <c r="I31" s="42"/>
      <c r="J31" s="42"/>
      <c r="K31" s="42"/>
    </row>
    <row r="32" customFormat="false" ht="15" hidden="false" customHeight="false" outlineLevel="0" collapsed="false">
      <c r="C32" s="42"/>
      <c r="D32" s="42"/>
      <c r="E32" s="42"/>
      <c r="F32" s="42"/>
      <c r="G32" s="42"/>
      <c r="H32" s="42"/>
      <c r="I32" s="42"/>
      <c r="J32" s="42"/>
      <c r="K32" s="42"/>
    </row>
    <row r="33" customFormat="false" ht="15" hidden="false" customHeight="false" outlineLevel="0" collapsed="false">
      <c r="C33" s="42"/>
      <c r="D33" s="42"/>
      <c r="E33" s="42"/>
      <c r="F33" s="42"/>
      <c r="G33" s="42"/>
      <c r="H33" s="42"/>
      <c r="I33" s="42"/>
      <c r="J33" s="42"/>
      <c r="K33" s="42"/>
    </row>
    <row r="34" customFormat="false" ht="15" hidden="false" customHeight="false" outlineLevel="0" collapsed="false">
      <c r="C34" s="42"/>
      <c r="D34" s="42"/>
      <c r="E34" s="42"/>
      <c r="F34" s="42"/>
      <c r="G34" s="42"/>
      <c r="H34" s="42"/>
      <c r="I34" s="42"/>
      <c r="J34" s="42"/>
      <c r="K34" s="42"/>
    </row>
  </sheetData>
  <mergeCells count="21">
    <mergeCell ref="C3:K3"/>
    <mergeCell ref="C8:K8"/>
    <mergeCell ref="C9:K9"/>
    <mergeCell ref="C10:K10"/>
    <mergeCell ref="C11:K11"/>
    <mergeCell ref="C12:K12"/>
    <mergeCell ref="C14:K14"/>
    <mergeCell ref="C15:K15"/>
    <mergeCell ref="C16:K16"/>
    <mergeCell ref="C17:K17"/>
    <mergeCell ref="C18:K18"/>
    <mergeCell ref="C19:K19"/>
    <mergeCell ref="C21:K21"/>
    <mergeCell ref="C22:K22"/>
    <mergeCell ref="C23:K23"/>
    <mergeCell ref="C24:K24"/>
    <mergeCell ref="C26:K26"/>
    <mergeCell ref="C27:K27"/>
    <mergeCell ref="C28:K28"/>
    <mergeCell ref="C30:K30"/>
    <mergeCell ref="C31:K34"/>
  </mergeCells>
  <printOptions headings="false" gridLines="false" gridLinesSet="true" horizontalCentered="fals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&amp;K666666Definiciones | Página &amp;P de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2026-09-05T18:10:19Z</dcterms:created>
  <dc:creator>openpyxl</dc:creator>
  <dc:description/>
  <dc:language>en-US</dc:language>
  <cp:lastModifiedBy/>
  <dcterms:modified xsi:type="dcterms:W3CDTF">2026-09-05T18:10:19Z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