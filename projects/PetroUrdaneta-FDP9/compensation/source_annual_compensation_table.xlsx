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nual Package" sheetId="1" state="visible" r:id="rId3"/>
  </sheets>
  <definedNames>
    <definedName function="false" hidden="false" localSheetId="0" name="_xlnm.Print_Area" vbProcedure="false">'Annual Package'!$A$1:$J$11</definedName>
    <definedName function="false" hidden="false" localSheetId="0" name="_xlnm.Print_Titles" vbProcedure="false">'Annual Package'!$1:$1</definedName>
    <definedName function="false" hidden="true" localSheetId="0" name="_xlnm._FilterDatabase" vbProcedure="false">'Annual Package'!$A$1:$J$10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Transcribed from source image: pasted_file_aWe6xG_image.png. Values verified in ordered overlapping crops.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37</xdr:colOff>
                <xdr:row>0</xdr:row>
                <xdr:rowOff>2</xdr:rowOff>
              </xdr:from>
              <xdr:to>
                <xdr:col>2</xdr:col>
                <xdr:colOff>-121</xdr:colOff>
                <xdr:row>2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<sst xmlns="http://schemas.openxmlformats.org/spreadsheetml/2006/main" count="29" uniqueCount="29">
  <si>
    <t xml:space="preserve">#</t>
  </si>
  <si>
    <t xml:space="preserve">Position</t>
  </si>
  <si>
    <t xml:space="preserve">Person</t>
  </si>
  <si>
    <t xml:space="preserve">Base Salary (Annual)</t>
  </si>
  <si>
    <t xml:space="preserve">Housing (Annual)</t>
  </si>
  <si>
    <t xml:space="preserve">Medical Insurance</t>
  </si>
  <si>
    <t xml:space="preserve">Home Leave (2 trips/yr)</t>
  </si>
  <si>
    <t xml:space="preserve">Company Vehicle</t>
  </si>
  <si>
    <t xml:space="preserve">Tax &amp; Social</t>
  </si>
  <si>
    <t xml:space="preserve">TOTAL Annual Package</t>
  </si>
  <si>
    <t xml:space="preserve">COO / PU General Manager</t>
  </si>
  <si>
    <t xml:space="preserve">Martin del Castillo</t>
  </si>
  <si>
    <t xml:space="preserve">EPCM &amp; Engineering Manager</t>
  </si>
  <si>
    <t xml:space="preserve">Juan Conde</t>
  </si>
  <si>
    <t xml:space="preserve">Drilling &amp; Well Services Manager</t>
  </si>
  <si>
    <t xml:space="preserve">Alexander Stulme</t>
  </si>
  <si>
    <t xml:space="preserve">Operations &amp; Maintenance Manager</t>
  </si>
  <si>
    <t xml:space="preserve">Félix Valderrama</t>
  </si>
  <si>
    <t xml:space="preserve">Technical Manager (Geosciences)</t>
  </si>
  <si>
    <t xml:space="preserve">Alan McKeon</t>
  </si>
  <si>
    <t xml:space="preserve">Reservoir Engineer</t>
  </si>
  <si>
    <t xml:space="preserve">JJI</t>
  </si>
  <si>
    <t xml:space="preserve">Rig Company Man</t>
  </si>
  <si>
    <t xml:space="preserve">Marcelo Dantas</t>
  </si>
  <si>
    <t xml:space="preserve">Planning &amp; PMO</t>
  </si>
  <si>
    <t xml:space="preserve">Jose Miguel</t>
  </si>
  <si>
    <t xml:space="preserve">Operations Support</t>
  </si>
  <si>
    <t xml:space="preserve">Leticia Almeida</t>
  </si>
  <si>
    <t xml:space="preserve">TOTAL ANNUAL COST (9 positions)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</si>
</sst>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[RED]&quot;($&quot;#,##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5F9FC"/>
        <bgColor rgb="FFFFFFFF"/>
      </patternFill>
    </fill>
    <fill>
      <patternFill patternType="solid">
        <fgColor rgb="FFD9EAF7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5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5F9F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nnualCompensationTable" displayName="AnnualCompensationTable" ref="A1:J10" headerRowCount="1" totalsRowCount="0" totalsRowShown="0">
  <autoFilter ref="A1:J10"/>
  <tableColumns count="10">
    <tableColumn id="1" name="#"/>
    <tableColumn id="2" name="Position"/>
    <tableColumn id="3" name="Person"/>
    <tableColumn id="4" name="Base Salary (Annual)"/>
    <tableColumn id="5" name="Housing (Annual)"/>
    <tableColumn id="6" name="Medical Insurance"/>
    <tableColumn id="7" name="Home Leave (2 trips/yr)"/>
    <tableColumn id="8" name="Company Vehicle"/>
    <tableColumn id="9" name="Tax &amp; Social"/>
    <tableColumn id="10" name="TOTAL Annual Pack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23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1" hidden="false" customHeight="true" outlineLevel="0" collapsed="false">
      <c r="A2" s="2" t="n">
        <v>1</v>
      </c>
      <c r="B2" s="3" t="s">
        <v>10</v>
      </c>
      <c r="C2" s="3" t="s">
        <v>11</v>
      </c>
      <c r="D2" s="4" t="n">
        <v>360000</v>
      </c>
      <c r="E2" s="4" t="n">
        <v>36000</v>
      </c>
      <c r="F2" s="4" t="n">
        <v>12000</v>
      </c>
      <c r="G2" s="4" t="n">
        <v>20000</v>
      </c>
      <c r="H2" s="4" t="n">
        <v>24000</v>
      </c>
      <c r="I2" s="4" t="n">
        <v>72000</v>
      </c>
      <c r="J2" s="5" t="n">
        <f aca="false">SUM(D2:I2)</f>
        <v>524000</v>
      </c>
    </row>
    <row r="3" customFormat="false" ht="21" hidden="false" customHeight="true" outlineLevel="0" collapsed="false">
      <c r="A3" s="6" t="n">
        <v>2</v>
      </c>
      <c r="B3" s="7" t="s">
        <v>12</v>
      </c>
      <c r="C3" s="7" t="s">
        <v>13</v>
      </c>
      <c r="D3" s="8" t="n">
        <v>216000</v>
      </c>
      <c r="E3" s="8" t="n">
        <v>24000</v>
      </c>
      <c r="F3" s="8" t="n">
        <v>12000</v>
      </c>
      <c r="G3" s="8" t="n">
        <v>12000</v>
      </c>
      <c r="H3" s="8" t="n">
        <v>18000</v>
      </c>
      <c r="I3" s="8" t="n">
        <v>43200</v>
      </c>
      <c r="J3" s="9" t="n">
        <f aca="false">SUM(D3:I3)</f>
        <v>325200</v>
      </c>
    </row>
    <row r="4" customFormat="false" ht="21" hidden="false" customHeight="true" outlineLevel="0" collapsed="false">
      <c r="A4" s="2" t="n">
        <v>3</v>
      </c>
      <c r="B4" s="3" t="s">
        <v>14</v>
      </c>
      <c r="C4" s="3" t="s">
        <v>15</v>
      </c>
      <c r="D4" s="4" t="n">
        <v>180000</v>
      </c>
      <c r="E4" s="4" t="n">
        <v>24000</v>
      </c>
      <c r="F4" s="4" t="n">
        <v>12000</v>
      </c>
      <c r="G4" s="4" t="n">
        <v>12000</v>
      </c>
      <c r="H4" s="4" t="n">
        <v>18000</v>
      </c>
      <c r="I4" s="4" t="n">
        <v>36000</v>
      </c>
      <c r="J4" s="5" t="n">
        <f aca="false">SUM(D4:I4)</f>
        <v>282000</v>
      </c>
    </row>
    <row r="5" customFormat="false" ht="21" hidden="false" customHeight="true" outlineLevel="0" collapsed="false">
      <c r="A5" s="6" t="n">
        <v>4</v>
      </c>
      <c r="B5" s="7" t="s">
        <v>16</v>
      </c>
      <c r="C5" s="7" t="s">
        <v>17</v>
      </c>
      <c r="D5" s="8" t="n">
        <v>216000</v>
      </c>
      <c r="E5" s="8" t="n">
        <v>24000</v>
      </c>
      <c r="F5" s="8" t="n">
        <v>12000</v>
      </c>
      <c r="G5" s="8" t="n">
        <v>12000</v>
      </c>
      <c r="H5" s="8" t="n">
        <v>18000</v>
      </c>
      <c r="I5" s="8" t="n">
        <v>43200</v>
      </c>
      <c r="J5" s="9" t="n">
        <f aca="false">SUM(D5:I5)</f>
        <v>325200</v>
      </c>
    </row>
    <row r="6" customFormat="false" ht="21" hidden="false" customHeight="true" outlineLevel="0" collapsed="false">
      <c r="A6" s="2" t="n">
        <v>5</v>
      </c>
      <c r="B6" s="3" t="s">
        <v>18</v>
      </c>
      <c r="C6" s="3" t="s">
        <v>19</v>
      </c>
      <c r="D6" s="4" t="n">
        <v>180000</v>
      </c>
      <c r="E6" s="4" t="n">
        <v>24000</v>
      </c>
      <c r="F6" s="4" t="n">
        <v>12000</v>
      </c>
      <c r="G6" s="4" t="n">
        <v>12000</v>
      </c>
      <c r="H6" s="4" t="n">
        <v>18000</v>
      </c>
      <c r="I6" s="4" t="n">
        <v>36000</v>
      </c>
      <c r="J6" s="5" t="n">
        <f aca="false">SUM(D6:I6)</f>
        <v>282000</v>
      </c>
    </row>
    <row r="7" customFormat="false" ht="21" hidden="false" customHeight="true" outlineLevel="0" collapsed="false">
      <c r="A7" s="6" t="n">
        <v>6</v>
      </c>
      <c r="B7" s="7" t="s">
        <v>20</v>
      </c>
      <c r="C7" s="7" t="s">
        <v>21</v>
      </c>
      <c r="D7" s="8" t="n">
        <v>120000</v>
      </c>
      <c r="E7" s="8" t="n">
        <v>18000</v>
      </c>
      <c r="F7" s="8" t="n">
        <v>12000</v>
      </c>
      <c r="G7" s="8" t="n">
        <v>12000</v>
      </c>
      <c r="H7" s="8" t="n">
        <v>12000</v>
      </c>
      <c r="I7" s="8" t="n">
        <v>20000</v>
      </c>
      <c r="J7" s="9" t="n">
        <f aca="false">SUM(D7:I7)</f>
        <v>194000</v>
      </c>
    </row>
    <row r="8" customFormat="false" ht="21" hidden="false" customHeight="true" outlineLevel="0" collapsed="false">
      <c r="A8" s="2" t="n">
        <v>7</v>
      </c>
      <c r="B8" s="3" t="s">
        <v>22</v>
      </c>
      <c r="C8" s="3" t="s">
        <v>23</v>
      </c>
      <c r="D8" s="4" t="n">
        <v>180000</v>
      </c>
      <c r="E8" s="4" t="n">
        <v>24000</v>
      </c>
      <c r="F8" s="4" t="n">
        <v>12000</v>
      </c>
      <c r="G8" s="4" t="n">
        <v>12000</v>
      </c>
      <c r="H8" s="4" t="n">
        <v>18000</v>
      </c>
      <c r="I8" s="4" t="n">
        <v>36000</v>
      </c>
      <c r="J8" s="5" t="n">
        <f aca="false">SUM(D8:I8)</f>
        <v>282000</v>
      </c>
    </row>
    <row r="9" customFormat="false" ht="21" hidden="false" customHeight="true" outlineLevel="0" collapsed="false">
      <c r="A9" s="6" t="n">
        <v>8</v>
      </c>
      <c r="B9" s="7" t="s">
        <v>24</v>
      </c>
      <c r="C9" s="7" t="s">
        <v>25</v>
      </c>
      <c r="D9" s="8" t="n">
        <v>48000</v>
      </c>
      <c r="E9" s="8" t="n">
        <v>12000</v>
      </c>
      <c r="F9" s="8" t="n">
        <v>8000</v>
      </c>
      <c r="G9" s="8" t="n">
        <v>0</v>
      </c>
      <c r="H9" s="8" t="n">
        <v>7200</v>
      </c>
      <c r="I9" s="8" t="n">
        <v>12000</v>
      </c>
      <c r="J9" s="9" t="n">
        <f aca="false">SUM(D9:I9)</f>
        <v>87200</v>
      </c>
    </row>
    <row r="10" customFormat="false" ht="21" hidden="false" customHeight="true" outlineLevel="0" collapsed="false">
      <c r="A10" s="2" t="n">
        <v>9</v>
      </c>
      <c r="B10" s="3" t="s">
        <v>26</v>
      </c>
      <c r="C10" s="3" t="s">
        <v>27</v>
      </c>
      <c r="D10" s="4" t="n">
        <v>48000</v>
      </c>
      <c r="E10" s="4" t="n">
        <v>12000</v>
      </c>
      <c r="F10" s="4" t="n">
        <v>8000</v>
      </c>
      <c r="G10" s="4" t="n">
        <v>12000</v>
      </c>
      <c r="H10" s="4" t="n">
        <v>7200</v>
      </c>
      <c r="I10" s="4" t="n">
        <v>8000</v>
      </c>
      <c r="J10" s="5" t="n">
        <f aca="false">SUM(D10:I10)</f>
        <v>95200</v>
      </c>
    </row>
    <row r="11" customFormat="false" ht="21.75" hidden="false" customHeight="true" outlineLevel="0" collapsed="false">
      <c r="A11" s="10"/>
      <c r="B11" s="11" t="s">
        <v>28</v>
      </c>
      <c r="C11" s="10"/>
      <c r="D11" s="10"/>
      <c r="E11" s="10"/>
      <c r="F11" s="10"/>
      <c r="G11" s="10"/>
      <c r="H11" s="10"/>
      <c r="I11" s="10"/>
      <c r="J11" s="12" t="n">
        <f aca="false">SUM(J2:J10)</f>
        <v>2396800</v>
      </c>
    </row>
  </sheetData>
  <autoFilter ref="A1:J10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&amp;K666666Annual Package | Page &amp;P of &amp;N</oddFooter>
  </headerFooter>
  <drawing r:id="rId2"/>
  <legacyDrawing r:id="rId3"/>
  <tableParts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2026-09-05T20:06:56Z</dcterms:created>
  <dc:creator>openpyxl</dc:creator>
  <dc:description/>
  <dc:language>en-US</dc:language>
  <cp:lastModifiedBy/>
  <dcterms:modified xsi:type="dcterms:W3CDTF">2026-09-05T20:06:56Z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