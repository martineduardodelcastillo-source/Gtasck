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Manpower Cost Summary" sheetId="1" state="visible" r:id="rId3"/>
  </sheets>
  <definedNames>
    <definedName function="false" hidden="false" localSheetId="0" name="_xlnm.Print_Area" vbProcedure="false">'Manpower Cost Summary'!$B$2:$O$36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C8" authorId="0">
      <text>
        <r>
          <rPr>
            <sz val="10"/>
            <rFont val="Arial"/>
            <family val="2"/>
          </rPr>
          <t xml:space="preserve">Source: management instruction in this task through 7–8 September 2026. Tax, payroll, labor-law and residence treatment require legal and tax review before implementation.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-29</xdr:colOff>
                <xdr:row>6</xdr:row>
                <xdr:rowOff>8</xdr:rowOff>
              </xdr:to>
            </anchor>
          </commentPr>
        </mc:Choice>
        <mc:Fallback/>
      </mc:AlternateContent>
    </comment>
    <comment ref="C21" authorId="0">
      <text>
        <r>
          <rPr>
            <sz val="10"/>
            <rFont val="Arial"/>
            <family val="2"/>
          </rPr>
          <t xml:space="preserve">Source: user-provided annual compensation table, reviewed 7–8 September 2026; field: Person. One-time M7 transition package. Origin-country employee tax assumption; no company gross-up modeled.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-29</xdr:colOff>
                <xdr:row>7</xdr:row>
                <xdr:rowOff>18</xdr:rowOff>
              </xdr:to>
            </anchor>
          </commentPr>
        </mc:Choice>
        <mc:Fallback/>
      </mc:AlternateContent>
    </comment>
    <comment ref="C22" authorId="0">
      <text>
        <r>
          <rPr>
            <sz val="10"/>
            <rFont val="Arial"/>
            <family val="2"/>
          </rPr>
          <t xml:space="preserve">Source: user-provided annual compensation table, reviewed 7–8 September 2026; field: Person. Initial PU secondee. PU pays modeled cost; one-time M7 transition package applies.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-29</xdr:colOff>
                <xdr:row>6</xdr:row>
                <xdr:rowOff>8</xdr:rowOff>
              </xdr:to>
            </anchor>
          </commentPr>
        </mc:Choice>
        <mc:Fallback/>
      </mc:AlternateContent>
    </comment>
    <comment ref="C23" authorId="0">
      <text>
        <r>
          <rPr>
            <sz val="10"/>
            <rFont val="Arial"/>
            <family val="2"/>
          </rPr>
          <t xml:space="preserve">Source: user-provided annual compensation table, reviewed 7–8 September 2026; field: Person. One-time M7 transition package. Origin-country employee tax assumption; no company gross-up modeled.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-29</xdr:colOff>
                <xdr:row>7</xdr:row>
                <xdr:rowOff>18</xdr:rowOff>
              </xdr:to>
            </anchor>
          </commentPr>
        </mc:Choice>
        <mc:Fallback/>
      </mc:AlternateContent>
    </comment>
    <comment ref="C24" authorId="0">
      <text>
        <r>
          <rPr>
            <sz val="10"/>
            <rFont val="Arial"/>
            <family val="2"/>
          </rPr>
          <t xml:space="preserve">Source: user-provided annual compensation table, reviewed 7–8 September 2026; field: Person. Initial PU secondee. Approved family relocation to Maracaibo; $2,000/month housing from M7 and home leave stated as a non-costed benefit.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-29</xdr:colOff>
                <xdr:row>7</xdr:row>
                <xdr:rowOff>33</xdr:rowOff>
              </xdr:to>
            </anchor>
          </commentPr>
        </mc:Choice>
        <mc:Fallback/>
      </mc:AlternateContent>
    </comment>
    <comment ref="C25" authorId="0">
      <text>
        <r>
          <rPr>
            <sz val="10"/>
            <rFont val="Arial"/>
            <family val="2"/>
          </rPr>
          <t xml:space="preserve">Source: user-provided annual compensation table, reviewed 7–8 September 2026; field: Person. Remote designation and local benefit treatment remain subject to confirmation.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-29</xdr:colOff>
                <xdr:row>6</xdr:row>
                <xdr:rowOff>8</xdr:rowOff>
              </xdr:to>
            </anchor>
          </commentPr>
        </mc:Choice>
        <mc:Fallback/>
      </mc:AlternateContent>
    </comment>
    <comment ref="C26" authorId="0">
      <text>
        <r>
          <rPr>
            <sz val="10"/>
            <rFont val="Arial"/>
            <family val="2"/>
          </rPr>
          <t xml:space="preserve">Source: user-provided annual compensation table, reviewed 7–8 September 2026; field: Person. Rotation is confirmed; expatriate contract treatment remains subject to confirmation.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-29</xdr:colOff>
                <xdr:row>6</xdr:row>
                <xdr:rowOff>8</xdr:rowOff>
              </xdr:to>
            </anchor>
          </commentPr>
        </mc:Choice>
        <mc:Fallback/>
      </mc:AlternateContent>
    </comment>
    <comment ref="C27" authorId="0">
      <text>
        <r>
          <rPr>
            <sz val="10"/>
            <rFont val="Arial"/>
            <family val="2"/>
          </rPr>
          <t xml:space="preserve">Source: user-provided annual compensation table, reviewed 7–8 September 2026; field: Person. Local / staff-house approach; no cash housing allowance modeled.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-29</xdr:colOff>
                <xdr:row>5</xdr:row>
                <xdr:rowOff>13</xdr:rowOff>
              </xdr:to>
            </anchor>
          </commentPr>
        </mc:Choice>
        <mc:Fallback/>
      </mc:AlternateContent>
    </comment>
    <comment ref="C28" authorId="0">
      <text>
        <r>
          <rPr>
            <sz val="10"/>
            <rFont val="Arial"/>
            <family val="2"/>
          </rPr>
          <t xml:space="preserve">Source: user-provided annual compensation table, reviewed 7–8 September 2026; field: Person. Open role; salary and health-care values are budget placeholders. Contract and benefits remain TBD.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-29</xdr:colOff>
                <xdr:row>7</xdr:row>
                <xdr:rowOff>3</xdr:rowOff>
              </xdr:to>
            </anchor>
          </commentPr>
        </mc:Choice>
        <mc:Fallback/>
      </mc:AlternateContent>
    </comment>
    <comment ref="C29" authorId="0">
      <text>
        <r>
          <rPr>
            <sz val="10"/>
            <rFont val="Arial"/>
            <family val="2"/>
          </rPr>
          <t xml:space="preserve">Source: user-provided annual compensation table, reviewed 7–8 September 2026; field: Person. Already assigned to the project as a local secondee. PU pays salary and health care; 30 paid vacation days apply.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-29</xdr:colOff>
                <xdr:row>7</xdr:row>
                <xdr:rowOff>3</xdr:rowOff>
              </xdr:to>
            </anchor>
          </commentPr>
        </mc:Choice>
        <mc:Fallback/>
      </mc:AlternateContent>
    </comment>
    <comment ref="D21" authorId="0">
      <text>
        <r>
          <rPr>
            <sz val="10"/>
            <rFont val="Arial"/>
            <family val="2"/>
          </rPr>
          <t xml:space="preserve">Source: user-provided annual compensation table, reviewed 7–8 September 2026; field: Position. One-time M7 transition package. Origin-country employee tax assumption; no company gross-up modeled.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-29</xdr:colOff>
                <xdr:row>7</xdr:row>
                <xdr:rowOff>18</xdr:rowOff>
              </xdr:to>
            </anchor>
          </commentPr>
        </mc:Choice>
        <mc:Fallback/>
      </mc:AlternateContent>
    </comment>
    <comment ref="D22" authorId="0">
      <text>
        <r>
          <rPr>
            <sz val="10"/>
            <rFont val="Arial"/>
            <family val="2"/>
          </rPr>
          <t xml:space="preserve">Source: user-provided annual compensation table, reviewed 7–8 September 2026; field: Position. Initial PU secondee. PU pays modeled cost; one-time M7 transition package applies.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-29</xdr:colOff>
                <xdr:row>6</xdr:row>
                <xdr:rowOff>8</xdr:rowOff>
              </xdr:to>
            </anchor>
          </commentPr>
        </mc:Choice>
        <mc:Fallback/>
      </mc:AlternateContent>
    </comment>
    <comment ref="D23" authorId="0">
      <text>
        <r>
          <rPr>
            <sz val="10"/>
            <rFont val="Arial"/>
            <family val="2"/>
          </rPr>
          <t xml:space="preserve">Source: user-provided annual compensation table, reviewed 7–8 September 2026; field: Position. One-time M7 transition package. Origin-country employee tax assumption; no company gross-up modeled.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-29</xdr:colOff>
                <xdr:row>7</xdr:row>
                <xdr:rowOff>18</xdr:rowOff>
              </xdr:to>
            </anchor>
          </commentPr>
        </mc:Choice>
        <mc:Fallback/>
      </mc:AlternateContent>
    </comment>
    <comment ref="D24" authorId="0">
      <text>
        <r>
          <rPr>
            <sz val="10"/>
            <rFont val="Arial"/>
            <family val="2"/>
          </rPr>
          <t xml:space="preserve">Source: user-provided annual compensation table, reviewed 7–8 September 2026; field: Position. Initial PU secondee. Approved family relocation to Maracaibo; $2,000/month housing from M7 and home leave stated as a non-costed benefit.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-29</xdr:colOff>
                <xdr:row>7</xdr:row>
                <xdr:rowOff>33</xdr:rowOff>
              </xdr:to>
            </anchor>
          </commentPr>
        </mc:Choice>
        <mc:Fallback/>
      </mc:AlternateContent>
    </comment>
    <comment ref="D25" authorId="0">
      <text>
        <r>
          <rPr>
            <sz val="10"/>
            <rFont val="Arial"/>
            <family val="2"/>
          </rPr>
          <t xml:space="preserve">Source: user-provided annual compensation table, reviewed 7–8 September 2026; field: Position. Remote designation and local benefit treatment remain subject to confirmation.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-29</xdr:colOff>
                <xdr:row>6</xdr:row>
                <xdr:rowOff>8</xdr:rowOff>
              </xdr:to>
            </anchor>
          </commentPr>
        </mc:Choice>
        <mc:Fallback/>
      </mc:AlternateContent>
    </comment>
    <comment ref="D26" authorId="0">
      <text>
        <r>
          <rPr>
            <sz val="10"/>
            <rFont val="Arial"/>
            <family val="2"/>
          </rPr>
          <t xml:space="preserve">Source: user-provided annual compensation table, reviewed 7–8 September 2026; field: Position. Rotation is confirmed; expatriate contract treatment remains subject to confirmation.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-29</xdr:colOff>
                <xdr:row>6</xdr:row>
                <xdr:rowOff>8</xdr:rowOff>
              </xdr:to>
            </anchor>
          </commentPr>
        </mc:Choice>
        <mc:Fallback/>
      </mc:AlternateContent>
    </comment>
    <comment ref="D27" authorId="0">
      <text>
        <r>
          <rPr>
            <sz val="10"/>
            <rFont val="Arial"/>
            <family val="2"/>
          </rPr>
          <t xml:space="preserve">Source: user-provided annual compensation table, reviewed 7–8 September 2026; field: Position. Local / staff-house approach; no cash housing allowance modeled.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-29</xdr:colOff>
                <xdr:row>5</xdr:row>
                <xdr:rowOff>13</xdr:rowOff>
              </xdr:to>
            </anchor>
          </commentPr>
        </mc:Choice>
        <mc:Fallback/>
      </mc:AlternateContent>
    </comment>
    <comment ref="D28" authorId="0">
      <text>
        <r>
          <rPr>
            <sz val="10"/>
            <rFont val="Arial"/>
            <family val="2"/>
          </rPr>
          <t xml:space="preserve">Source: user-provided annual compensation table, reviewed 7–8 September 2026; field: Position. Open role; salary and health-care values are budget placeholders. Contract and benefits remain TBD.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-29</xdr:colOff>
                <xdr:row>7</xdr:row>
                <xdr:rowOff>3</xdr:rowOff>
              </xdr:to>
            </anchor>
          </commentPr>
        </mc:Choice>
        <mc:Fallback/>
      </mc:AlternateContent>
    </comment>
    <comment ref="D29" authorId="0">
      <text>
        <r>
          <rPr>
            <sz val="10"/>
            <rFont val="Arial"/>
            <family val="2"/>
          </rPr>
          <t xml:space="preserve">Source: user-provided annual compensation table, reviewed 7–8 September 2026; field: Position. Already assigned to the project as a local secondee. PU pays salary and health care; 30 paid vacation days apply.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-29</xdr:colOff>
                <xdr:row>7</xdr:row>
                <xdr:rowOff>3</xdr:rowOff>
              </xdr:to>
            </anchor>
          </commentPr>
        </mc:Choice>
        <mc:Fallback/>
      </mc:AlternateContent>
    </comment>
    <comment ref="E21" authorId="0">
      <text>
        <r>
          <rPr>
            <sz val="10"/>
            <rFont val="Arial"/>
            <family val="2"/>
          </rPr>
          <t xml:space="preserve">Source: management instruction in this task through 7–8 September 2026. M1–M6 contract: Repatriate. One-time M7 transition package. Origin-country employee tax assumption; no company gross-up modeled.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-29</xdr:colOff>
                <xdr:row>7</xdr:row>
                <xdr:rowOff>33</xdr:rowOff>
              </xdr:to>
            </anchor>
          </commentPr>
        </mc:Choice>
        <mc:Fallback/>
      </mc:AlternateContent>
    </comment>
    <comment ref="E22" authorId="0">
      <text>
        <r>
          <rPr>
            <sz val="10"/>
            <rFont val="Arial"/>
            <family val="2"/>
          </rPr>
          <t xml:space="preserve">Source: management instruction in this task through 7–8 September 2026. M1–M6 contract: Repatriate. Initial PU secondee. PU pays modeled cost; one-time M7 transition package applies.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-29</xdr:colOff>
                <xdr:row>7</xdr:row>
                <xdr:rowOff>3</xdr:rowOff>
              </xdr:to>
            </anchor>
          </commentPr>
        </mc:Choice>
        <mc:Fallback/>
      </mc:AlternateContent>
    </comment>
    <comment ref="E23" authorId="0">
      <text>
        <r>
          <rPr>
            <sz val="10"/>
            <rFont val="Arial"/>
            <family val="2"/>
          </rPr>
          <t xml:space="preserve">Source: management instruction in this task through 7–8 September 2026. M1–M6 contract: Repatriate. One-time M7 transition package. Origin-country employee tax assumption; no company gross-up modeled.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-29</xdr:colOff>
                <xdr:row>7</xdr:row>
                <xdr:rowOff>33</xdr:rowOff>
              </xdr:to>
            </anchor>
          </commentPr>
        </mc:Choice>
        <mc:Fallback/>
      </mc:AlternateContent>
    </comment>
    <comment ref="E24" authorId="0">
      <text>
        <r>
          <rPr>
            <sz val="10"/>
            <rFont val="Arial"/>
            <family val="2"/>
          </rPr>
          <t xml:space="preserve">Source: management instruction in this task through 7–8 September 2026. M1–M6 contract: Expat. Initial PU secondee. Approved family relocation to Maracaibo; $2,000/month housing from M7 and home leave stated as a non-costed benefit.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-29</xdr:colOff>
                <xdr:row>7</xdr:row>
                <xdr:rowOff>48</xdr:rowOff>
              </xdr:to>
            </anchor>
          </commentPr>
        </mc:Choice>
        <mc:Fallback/>
      </mc:AlternateContent>
    </comment>
    <comment ref="E25" authorId="0">
      <text>
        <r>
          <rPr>
            <sz val="10"/>
            <rFont val="Arial"/>
            <family val="2"/>
          </rPr>
          <t xml:space="preserve">Source: management instruction in this task through 7–8 September 2026. M1–M6 contract: Local. Remote designation and local benefit treatment remain subject to confirmation.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-29</xdr:colOff>
                <xdr:row>7</xdr:row>
                <xdr:rowOff>3</xdr:rowOff>
              </xdr:to>
            </anchor>
          </commentPr>
        </mc:Choice>
        <mc:Fallback/>
      </mc:AlternateContent>
    </comment>
    <comment ref="E26" authorId="0">
      <text>
        <r>
          <rPr>
            <sz val="10"/>
            <rFont val="Arial"/>
            <family val="2"/>
          </rPr>
          <t xml:space="preserve">Source: management instruction in this task through 7–8 September 2026. M1–M6 contract: Expat. Rotation is confirmed; expatriate contract treatment remains subject to confirmation.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-29</xdr:colOff>
                <xdr:row>7</xdr:row>
                <xdr:rowOff>3</xdr:rowOff>
              </xdr:to>
            </anchor>
          </commentPr>
        </mc:Choice>
        <mc:Fallback/>
      </mc:AlternateContent>
    </comment>
    <comment ref="E27" authorId="0">
      <text>
        <r>
          <rPr>
            <sz val="10"/>
            <rFont val="Arial"/>
            <family val="2"/>
          </rPr>
          <t xml:space="preserve">Source: management instruction in this task through 7–8 September 2026. M1–M6 contract: Local. Local / staff-house approach; no cash housing allowance modeled.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-29</xdr:colOff>
                <xdr:row>6</xdr:row>
                <xdr:rowOff>8</xdr:rowOff>
              </xdr:to>
            </anchor>
          </commentPr>
        </mc:Choice>
        <mc:Fallback/>
      </mc:AlternateContent>
    </comment>
    <comment ref="E28" authorId="0">
      <text>
        <r>
          <rPr>
            <sz val="10"/>
            <rFont val="Arial"/>
            <family val="2"/>
          </rPr>
          <t xml:space="preserve">Source: management instruction in this task through 7–8 September 2026. M1–M6 contract: TBD. Open role; salary and health-care values are budget placeholders. Contract and benefits remain TBD.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-29</xdr:colOff>
                <xdr:row>7</xdr:row>
                <xdr:rowOff>3</xdr:rowOff>
              </xdr:to>
            </anchor>
          </commentPr>
        </mc:Choice>
        <mc:Fallback/>
      </mc:AlternateContent>
    </comment>
    <comment ref="E29" authorId="0">
      <text>
        <r>
          <rPr>
            <sz val="10"/>
            <rFont val="Arial"/>
            <family val="2"/>
          </rPr>
          <t xml:space="preserve">Source: management instruction in this task through 7–8 September 2026. M1–M6 contract: Local Secondee. Already assigned to the project as a local secondee. PU pays salary and health care; 30 paid vacation days apply.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-29</xdr:colOff>
                <xdr:row>7</xdr:row>
                <xdr:rowOff>18</xdr:rowOff>
              </xdr:to>
            </anchor>
          </commentPr>
        </mc:Choice>
        <mc:Fallback/>
      </mc:AlternateContent>
    </comment>
    <comment ref="F21" authorId="0">
      <text>
        <r>
          <rPr>
            <sz val="10"/>
            <rFont val="Arial"/>
            <family val="2"/>
          </rPr>
          <t xml:space="preserve">Source: management instruction in this task through 7–8 September 2026. M7+ basis: Local — Venezuela. One-time M7 transition package. Origin-country employee tax assumption; no company gross-up modeled.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-29</xdr:colOff>
                <xdr:row>7</xdr:row>
                <xdr:rowOff>33</xdr:rowOff>
              </xdr:to>
            </anchor>
          </commentPr>
        </mc:Choice>
        <mc:Fallback/>
      </mc:AlternateContent>
    </comment>
    <comment ref="F22" authorId="0">
      <text>
        <r>
          <rPr>
            <sz val="10"/>
            <rFont val="Arial"/>
            <family val="2"/>
          </rPr>
          <t xml:space="preserve">Source: management instruction in this task through 7–8 September 2026. M7+ basis: Local — Venezuela. Initial PU secondee. PU pays modeled cost; one-time M7 transition package applies.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-29</xdr:colOff>
                <xdr:row>7</xdr:row>
                <xdr:rowOff>3</xdr:rowOff>
              </xdr:to>
            </anchor>
          </commentPr>
        </mc:Choice>
        <mc:Fallback/>
      </mc:AlternateContent>
    </comment>
    <comment ref="F23" authorId="0">
      <text>
        <r>
          <rPr>
            <sz val="10"/>
            <rFont val="Arial"/>
            <family val="2"/>
          </rPr>
          <t xml:space="preserve">Source: management instruction in this task through 7–8 September 2026. M7+ basis: Local — Venezuela. One-time M7 transition package. Origin-country employee tax assumption; no company gross-up modeled.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-29</xdr:colOff>
                <xdr:row>7</xdr:row>
                <xdr:rowOff>33</xdr:rowOff>
              </xdr:to>
            </anchor>
          </commentPr>
        </mc:Choice>
        <mc:Fallback/>
      </mc:AlternateContent>
    </comment>
    <comment ref="F24" authorId="0">
      <text>
        <r>
          <rPr>
            <sz val="10"/>
            <rFont val="Arial"/>
            <family val="2"/>
          </rPr>
          <t xml:space="preserve">Source: management instruction in this task through 7–8 September 2026. M7+ basis: Expat. Initial PU secondee. Approved family relocation to Maracaibo; $2,000/month housing from M7 and home leave stated as a non-costed benefit.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-29</xdr:colOff>
                <xdr:row>7</xdr:row>
                <xdr:rowOff>33</xdr:rowOff>
              </xdr:to>
            </anchor>
          </commentPr>
        </mc:Choice>
        <mc:Fallback/>
      </mc:AlternateContent>
    </comment>
    <comment ref="F25" authorId="0">
      <text>
        <r>
          <rPr>
            <sz val="10"/>
            <rFont val="Arial"/>
            <family val="2"/>
          </rPr>
          <t xml:space="preserve">Source: management instruction in this task through 7–8 September 2026. M7+ basis: Local. Remote designation and local benefit treatment remain subject to confirmation.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-29</xdr:colOff>
                <xdr:row>6</xdr:row>
                <xdr:rowOff>8</xdr:rowOff>
              </xdr:to>
            </anchor>
          </commentPr>
        </mc:Choice>
        <mc:Fallback/>
      </mc:AlternateContent>
    </comment>
    <comment ref="F26" authorId="0">
      <text>
        <r>
          <rPr>
            <sz val="10"/>
            <rFont val="Arial"/>
            <family val="2"/>
          </rPr>
          <t xml:space="preserve">Source: management instruction in this task through 7–8 September 2026. M7+ basis: Expat. Rotation is confirmed; expatriate contract treatment remains subject to confirmation.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-29</xdr:colOff>
                <xdr:row>7</xdr:row>
                <xdr:rowOff>3</xdr:rowOff>
              </xdr:to>
            </anchor>
          </commentPr>
        </mc:Choice>
        <mc:Fallback/>
      </mc:AlternateContent>
    </comment>
    <comment ref="F27" authorId="0">
      <text>
        <r>
          <rPr>
            <sz val="10"/>
            <rFont val="Arial"/>
            <family val="2"/>
          </rPr>
          <t xml:space="preserve">Source: management instruction in this task through 7–8 September 2026. M7+ basis: Local. Local / staff-house approach; no cash housing allowance modeled.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-29</xdr:colOff>
                <xdr:row>5</xdr:row>
                <xdr:rowOff>13</xdr:rowOff>
              </xdr:to>
            </anchor>
          </commentPr>
        </mc:Choice>
        <mc:Fallback/>
      </mc:AlternateContent>
    </comment>
    <comment ref="F28" authorId="0">
      <text>
        <r>
          <rPr>
            <sz val="10"/>
            <rFont val="Arial"/>
            <family val="2"/>
          </rPr>
          <t xml:space="preserve">Source: management instruction in this task through 7–8 September 2026. M7+ basis: TBD. Open role; salary and health-care values are budget placeholders. Contract and benefits remain TBD.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-29</xdr:colOff>
                <xdr:row>7</xdr:row>
                <xdr:rowOff>3</xdr:rowOff>
              </xdr:to>
            </anchor>
          </commentPr>
        </mc:Choice>
        <mc:Fallback/>
      </mc:AlternateContent>
    </comment>
    <comment ref="F29" authorId="0">
      <text>
        <r>
          <rPr>
            <sz val="10"/>
            <rFont val="Arial"/>
            <family val="2"/>
          </rPr>
          <t xml:space="preserve">Source: management instruction in this task through 7–8 September 2026. M7+ basis: Local. Already assigned to the project as a local secondee. PU pays salary and health care; 30 paid vacation days apply.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-29</xdr:colOff>
                <xdr:row>7</xdr:row>
                <xdr:rowOff>3</xdr:rowOff>
              </xdr:to>
            </anchor>
          </commentPr>
        </mc:Choice>
        <mc:Fallback/>
      </mc:AlternateContent>
    </comment>
    <comment ref="G21" authorId="0">
      <text>
        <r>
          <rPr>
            <sz val="10"/>
            <rFont val="Arial"/>
            <family val="2"/>
          </rPr>
          <t xml:space="preserve">Source: management instruction in this task through 7–8 September 2026. PU pays the costs of Alexander Stulme, Alan McKeon and Martin Aguero as secondees.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-29</xdr:colOff>
                <xdr:row>6</xdr:row>
                <xdr:rowOff>8</xdr:rowOff>
              </xdr:to>
            </anchor>
          </commentPr>
        </mc:Choice>
        <mc:Fallback/>
      </mc:AlternateContent>
    </comment>
    <comment ref="G22" authorId="0">
      <text>
        <r>
          <rPr>
            <sz val="10"/>
            <rFont val="Arial"/>
            <family val="2"/>
          </rPr>
          <t xml:space="preserve">Source: management instruction in this task through 7–8 September 2026. PU pays the costs of Alexander Stulme, Alan McKeon and Martin Aguero as secondees.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-29</xdr:colOff>
                <xdr:row>6</xdr:row>
                <xdr:rowOff>8</xdr:rowOff>
              </xdr:to>
            </anchor>
          </commentPr>
        </mc:Choice>
        <mc:Fallback/>
      </mc:AlternateContent>
    </comment>
    <comment ref="G23" authorId="0">
      <text>
        <r>
          <rPr>
            <sz val="10"/>
            <rFont val="Arial"/>
            <family val="2"/>
          </rPr>
          <t xml:space="preserve">Source: management instruction in this task through 7–8 September 2026. PU pays the costs of Alexander Stulme, Alan McKeon and Martin Aguero as secondees.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-29</xdr:colOff>
                <xdr:row>6</xdr:row>
                <xdr:rowOff>8</xdr:rowOff>
              </xdr:to>
            </anchor>
          </commentPr>
        </mc:Choice>
        <mc:Fallback/>
      </mc:AlternateContent>
    </comment>
    <comment ref="G24" authorId="0">
      <text>
        <r>
          <rPr>
            <sz val="10"/>
            <rFont val="Arial"/>
            <family val="2"/>
          </rPr>
          <t xml:space="preserve">Source: management instruction in this task through 7–8 September 2026. PU pays the costs of Alexander Stulme, Alan McKeon and Martin Aguero as secondees.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-29</xdr:colOff>
                <xdr:row>6</xdr:row>
                <xdr:rowOff>8</xdr:rowOff>
              </xdr:to>
            </anchor>
          </commentPr>
        </mc:Choice>
        <mc:Fallback/>
      </mc:AlternateContent>
    </comment>
    <comment ref="G25" authorId="0">
      <text>
        <r>
          <rPr>
            <sz val="10"/>
            <rFont val="Arial"/>
            <family val="2"/>
          </rPr>
          <t xml:space="preserve">Source: management instruction in this task through 7–8 September 2026. PU pays the costs of Alexander Stulme, Alan McKeon and Martin Aguero as secondees.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-29</xdr:colOff>
                <xdr:row>6</xdr:row>
                <xdr:rowOff>8</xdr:rowOff>
              </xdr:to>
            </anchor>
          </commentPr>
        </mc:Choice>
        <mc:Fallback/>
      </mc:AlternateContent>
    </comment>
    <comment ref="G26" authorId="0">
      <text>
        <r>
          <rPr>
            <sz val="10"/>
            <rFont val="Arial"/>
            <family val="2"/>
          </rPr>
          <t xml:space="preserve">Source: management instruction in this task through 7–8 September 2026. PU pays the costs of Alexander Stulme, Alan McKeon and Martin Aguero as secondees.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-29</xdr:colOff>
                <xdr:row>6</xdr:row>
                <xdr:rowOff>8</xdr:rowOff>
              </xdr:to>
            </anchor>
          </commentPr>
        </mc:Choice>
        <mc:Fallback/>
      </mc:AlternateContent>
    </comment>
    <comment ref="G27" authorId="0">
      <text>
        <r>
          <rPr>
            <sz val="10"/>
            <rFont val="Arial"/>
            <family val="2"/>
          </rPr>
          <t xml:space="preserve">Source: management instruction in this task through 7–8 September 2026. PU pays the costs of Alexander Stulme, Alan McKeon and Martin Aguero as secondees.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-29</xdr:colOff>
                <xdr:row>6</xdr:row>
                <xdr:rowOff>8</xdr:rowOff>
              </xdr:to>
            </anchor>
          </commentPr>
        </mc:Choice>
        <mc:Fallback/>
      </mc:AlternateContent>
    </comment>
    <comment ref="G28" authorId="0">
      <text>
        <r>
          <rPr>
            <sz val="10"/>
            <rFont val="Arial"/>
            <family val="2"/>
          </rPr>
          <t xml:space="preserve">Source: management instruction in this task through 7–8 September 2026. PU pays the costs of Alexander Stulme, Alan McKeon and Martin Aguero as secondees.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-29</xdr:colOff>
                <xdr:row>6</xdr:row>
                <xdr:rowOff>8</xdr:rowOff>
              </xdr:to>
            </anchor>
          </commentPr>
        </mc:Choice>
        <mc:Fallback/>
      </mc:AlternateContent>
    </comment>
    <comment ref="G29" authorId="0">
      <text>
        <r>
          <rPr>
            <sz val="10"/>
            <rFont val="Arial"/>
            <family val="2"/>
          </rPr>
          <t xml:space="preserve">Source: management instruction in this task through 7–8 September 2026. PU pays the costs of Alexander Stulme, Alan McKeon and Martin Aguero as secondees.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-29</xdr:colOff>
                <xdr:row>6</xdr:row>
                <xdr:rowOff>8</xdr:rowOff>
              </xdr:to>
            </anchor>
          </commentPr>
        </mc:Choice>
        <mc:Fallback/>
      </mc:AlternateContent>
    </comment>
    <comment ref="H21" authorId="0">
      <text>
        <r>
          <rPr>
            <sz val="10"/>
            <rFont val="Arial"/>
            <family val="2"/>
          </rPr>
          <t xml:space="preserve">Source: user-provided annual compensation table, reviewed 7–8 September 2026; field: Base Salary (Annual). One-time M7 transition package. Origin-country employee tax assumption; no company gross-up modeled.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-29</xdr:colOff>
                <xdr:row>7</xdr:row>
                <xdr:rowOff>18</xdr:rowOff>
              </xdr:to>
            </anchor>
          </commentPr>
        </mc:Choice>
        <mc:Fallback/>
      </mc:AlternateContent>
    </comment>
    <comment ref="H22" authorId="0">
      <text>
        <r>
          <rPr>
            <sz val="10"/>
            <rFont val="Arial"/>
            <family val="2"/>
          </rPr>
          <t xml:space="preserve">Source: user-provided annual compensation table, reviewed 7–8 September 2026; field: Base Salary (Annual). Initial PU secondee. PU pays modeled cost; one-time M7 transition package applies.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-29</xdr:colOff>
                <xdr:row>7</xdr:row>
                <xdr:rowOff>3</xdr:rowOff>
              </xdr:to>
            </anchor>
          </commentPr>
        </mc:Choice>
        <mc:Fallback/>
      </mc:AlternateContent>
    </comment>
    <comment ref="H23" authorId="0">
      <text>
        <r>
          <rPr>
            <sz val="10"/>
            <rFont val="Arial"/>
            <family val="2"/>
          </rPr>
          <t xml:space="preserve">Source: user-provided annual compensation table, reviewed 7–8 September 2026; field: Base Salary (Annual). One-time M7 transition package. Origin-country employee tax assumption; no company gross-up modeled.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-29</xdr:colOff>
                <xdr:row>7</xdr:row>
                <xdr:rowOff>18</xdr:rowOff>
              </xdr:to>
            </anchor>
          </commentPr>
        </mc:Choice>
        <mc:Fallback/>
      </mc:AlternateContent>
    </comment>
    <comment ref="H24" authorId="0">
      <text>
        <r>
          <rPr>
            <sz val="10"/>
            <rFont val="Arial"/>
            <family val="2"/>
          </rPr>
          <t xml:space="preserve">Source: user-provided annual compensation table, reviewed 7–8 September 2026; field: Base Salary (Annual). Initial PU secondee. Approved family relocation to Maracaibo; $2,000/month housing from M7 and home leave stated as a non-costed benefit.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-29</xdr:colOff>
                <xdr:row>7</xdr:row>
                <xdr:rowOff>48</xdr:rowOff>
              </xdr:to>
            </anchor>
          </commentPr>
        </mc:Choice>
        <mc:Fallback/>
      </mc:AlternateContent>
    </comment>
    <comment ref="H25" authorId="0">
      <text>
        <r>
          <rPr>
            <sz val="10"/>
            <rFont val="Arial"/>
            <family val="2"/>
          </rPr>
          <t xml:space="preserve">Source: user-provided annual compensation table, reviewed 7–8 September 2026; field: Base Salary (Annual). Remote designation and local benefit treatment remain subject to confirmation.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-29</xdr:colOff>
                <xdr:row>7</xdr:row>
                <xdr:rowOff>3</xdr:rowOff>
              </xdr:to>
            </anchor>
          </commentPr>
        </mc:Choice>
        <mc:Fallback/>
      </mc:AlternateContent>
    </comment>
    <comment ref="H26" authorId="0">
      <text>
        <r>
          <rPr>
            <sz val="10"/>
            <rFont val="Arial"/>
            <family val="2"/>
          </rPr>
          <t xml:space="preserve">Source: user-provided annual compensation table, reviewed 7–8 September 2026; field: Base Salary (Annual). Rotation is confirmed; expatriate contract treatment remains subject to confirmation.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-29</xdr:colOff>
                <xdr:row>7</xdr:row>
                <xdr:rowOff>3</xdr:rowOff>
              </xdr:to>
            </anchor>
          </commentPr>
        </mc:Choice>
        <mc:Fallback/>
      </mc:AlternateContent>
    </comment>
    <comment ref="H27" authorId="0">
      <text>
        <r>
          <rPr>
            <sz val="10"/>
            <rFont val="Arial"/>
            <family val="2"/>
          </rPr>
          <t xml:space="preserve">Source: user-provided annual compensation table, reviewed 7–8 September 2026; field: Base Salary (Annual). Local / staff-house approach; no cash housing allowance modeled.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-29</xdr:colOff>
                <xdr:row>6</xdr:row>
                <xdr:rowOff>8</xdr:rowOff>
              </xdr:to>
            </anchor>
          </commentPr>
        </mc:Choice>
        <mc:Fallback/>
      </mc:AlternateContent>
    </comment>
    <comment ref="H28" authorId="0">
      <text>
        <r>
          <rPr>
            <sz val="10"/>
            <rFont val="Arial"/>
            <family val="2"/>
          </rPr>
          <t xml:space="preserve">Source: user-provided annual compensation table, reviewed 7–8 September 2026; field: Base Salary (Annual). Open role; salary and health-care values are budget placeholders. Contract and benefits remain TBD.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-29</xdr:colOff>
                <xdr:row>7</xdr:row>
                <xdr:rowOff>3</xdr:rowOff>
              </xdr:to>
            </anchor>
          </commentPr>
        </mc:Choice>
        <mc:Fallback/>
      </mc:AlternateContent>
    </comment>
    <comment ref="H29" authorId="0">
      <text>
        <r>
          <rPr>
            <sz val="10"/>
            <rFont val="Arial"/>
            <family val="2"/>
          </rPr>
          <t xml:space="preserve">Source: user-provided annual compensation table, reviewed 7–8 September 2026; field: Base Salary (Annual). Already assigned to the project as a local secondee. PU pays salary and health care; 30 paid vacation days apply.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-29</xdr:colOff>
                <xdr:row>7</xdr:row>
                <xdr:rowOff>18</xdr:rowOff>
              </xdr:to>
            </anchor>
          </commentPr>
        </mc:Choice>
        <mc:Fallback/>
      </mc:AlternateContent>
    </comment>
    <comment ref="I12" authorId="0">
      <text>
        <r>
          <rPr>
            <sz val="10"/>
            <rFont val="Arial"/>
            <family val="2"/>
          </rPr>
          <t xml:space="preserve">Source: management instruction in this task through 7–8 September 2026. All benefits and cost treatments shown here reflect management instructions in this task.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-29</xdr:colOff>
                <xdr:row>6</xdr:row>
                <xdr:rowOff>8</xdr:rowOff>
              </xdr:to>
            </anchor>
          </commentPr>
        </mc:Choice>
        <mc:Fallback/>
      </mc:AlternateContent>
    </comment>
    <comment ref="I21" authorId="0">
      <text>
        <r>
          <rPr>
            <sz val="10"/>
            <rFont val="Arial"/>
            <family val="2"/>
          </rPr>
          <t xml:space="preserve">Source: user-provided annual compensation table, reviewed 7–8 September 2026; field: Medical Insurance (Annual). One-time M7 transition package. Origin-country employee tax assumption; no company gross-up modeled.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-29</xdr:colOff>
                <xdr:row>7</xdr:row>
                <xdr:rowOff>33</xdr:rowOff>
              </xdr:to>
            </anchor>
          </commentPr>
        </mc:Choice>
        <mc:Fallback/>
      </mc:AlternateContent>
    </comment>
    <comment ref="I22" authorId="0">
      <text>
        <r>
          <rPr>
            <sz val="10"/>
            <rFont val="Arial"/>
            <family val="2"/>
          </rPr>
          <t xml:space="preserve">Source: user-provided annual compensation table, reviewed 7–8 September 2026; field: Medical Insurance (Annual). Initial PU secondee. PU pays modeled cost; one-time M7 transition package applies.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-29</xdr:colOff>
                <xdr:row>7</xdr:row>
                <xdr:rowOff>3</xdr:rowOff>
              </xdr:to>
            </anchor>
          </commentPr>
        </mc:Choice>
        <mc:Fallback/>
      </mc:AlternateContent>
    </comment>
    <comment ref="I23" authorId="0">
      <text>
        <r>
          <rPr>
            <sz val="10"/>
            <rFont val="Arial"/>
            <family val="2"/>
          </rPr>
          <t xml:space="preserve">Source: user-provided annual compensation table, reviewed 7–8 September 2026; field: Medical Insurance (Annual). One-time M7 transition package. Origin-country employee tax assumption; no company gross-up modeled.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-29</xdr:colOff>
                <xdr:row>7</xdr:row>
                <xdr:rowOff>33</xdr:rowOff>
              </xdr:to>
            </anchor>
          </commentPr>
        </mc:Choice>
        <mc:Fallback/>
      </mc:AlternateContent>
    </comment>
    <comment ref="I24" authorId="0">
      <text>
        <r>
          <rPr>
            <sz val="10"/>
            <rFont val="Arial"/>
            <family val="2"/>
          </rPr>
          <t xml:space="preserve">Source: user-provided annual compensation table, reviewed 7–8 September 2026; field: Medical Insurance (Annual). Initial PU secondee. Approved family relocation to Maracaibo; $2,000/month housing from M7 and home leave stated as a non-costed benefit.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-29</xdr:colOff>
                <xdr:row>7</xdr:row>
                <xdr:rowOff>48</xdr:rowOff>
              </xdr:to>
            </anchor>
          </commentPr>
        </mc:Choice>
        <mc:Fallback/>
      </mc:AlternateContent>
    </comment>
    <comment ref="I25" authorId="0">
      <text>
        <r>
          <rPr>
            <sz val="10"/>
            <rFont val="Arial"/>
            <family val="2"/>
          </rPr>
          <t xml:space="preserve">Source: user-provided annual compensation table, reviewed 7–8 September 2026; field: Medical Insurance (Annual). Remote designation and local benefit treatment remain subject to confirmation.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-29</xdr:colOff>
                <xdr:row>7</xdr:row>
                <xdr:rowOff>3</xdr:rowOff>
              </xdr:to>
            </anchor>
          </commentPr>
        </mc:Choice>
        <mc:Fallback/>
      </mc:AlternateContent>
    </comment>
    <comment ref="I26" authorId="0">
      <text>
        <r>
          <rPr>
            <sz val="10"/>
            <rFont val="Arial"/>
            <family val="2"/>
          </rPr>
          <t xml:space="preserve">Source: user-provided annual compensation table, reviewed 7–8 September 2026; field: Medical Insurance (Annual). Rotation is confirmed; expatriate contract treatment remains subject to confirmation.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-29</xdr:colOff>
                <xdr:row>7</xdr:row>
                <xdr:rowOff>3</xdr:rowOff>
              </xdr:to>
            </anchor>
          </commentPr>
        </mc:Choice>
        <mc:Fallback/>
      </mc:AlternateContent>
    </comment>
    <comment ref="I27" authorId="0">
      <text>
        <r>
          <rPr>
            <sz val="10"/>
            <rFont val="Arial"/>
            <family val="2"/>
          </rPr>
          <t xml:space="preserve">Source: user-provided annual compensation table, reviewed 7–8 September 2026; field: Medical Insurance (Annual). Local / staff-house approach; no cash housing allowance modeled.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-29</xdr:colOff>
                <xdr:row>6</xdr:row>
                <xdr:rowOff>8</xdr:rowOff>
              </xdr:to>
            </anchor>
          </commentPr>
        </mc:Choice>
        <mc:Fallback/>
      </mc:AlternateContent>
    </comment>
    <comment ref="I28" authorId="0">
      <text>
        <r>
          <rPr>
            <sz val="10"/>
            <rFont val="Arial"/>
            <family val="2"/>
          </rPr>
          <t xml:space="preserve">Source: user-provided annual compensation table, reviewed 7–8 September 2026; field: Medical Insurance (Annual). Open role; salary and health-care values are budget placeholders. Contract and benefits remain TBD.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-29</xdr:colOff>
                <xdr:row>7</xdr:row>
                <xdr:rowOff>18</xdr:rowOff>
              </xdr:to>
            </anchor>
          </commentPr>
        </mc:Choice>
        <mc:Fallback/>
      </mc:AlternateContent>
    </comment>
    <comment ref="I29" authorId="0">
      <text>
        <r>
          <rPr>
            <sz val="10"/>
            <rFont val="Arial"/>
            <family val="2"/>
          </rPr>
          <t xml:space="preserve">Source: user-provided annual compensation table, reviewed 7–8 September 2026; field: Medical Insurance (Annual). Already assigned to the project as a local secondee. PU pays salary and health care; 30 paid vacation days apply.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-29</xdr:colOff>
                <xdr:row>7</xdr:row>
                <xdr:rowOff>18</xdr:rowOff>
              </xdr:to>
            </anchor>
          </commentPr>
        </mc:Choice>
        <mc:Fallback/>
      </mc:AlternateContent>
    </comment>
    <comment ref="J21" authorId="0">
      <text>
        <r>
          <rPr>
            <sz val="10"/>
            <rFont val="Arial"/>
            <family val="2"/>
          </rPr>
          <t xml:space="preserve">Source: management instruction in this task through 7–8 September 2026. One-time M7 repatriation / localization package equals 1.5 times monthly salary for repatriates.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-29</xdr:colOff>
                <xdr:row>6</xdr:row>
                <xdr:rowOff>8</xdr:rowOff>
              </xdr:to>
            </anchor>
          </commentPr>
        </mc:Choice>
        <mc:Fallback/>
      </mc:AlternateContent>
    </comment>
    <comment ref="J22" authorId="0">
      <text>
        <r>
          <rPr>
            <sz val="10"/>
            <rFont val="Arial"/>
            <family val="2"/>
          </rPr>
          <t xml:space="preserve">Source: management instruction in this task through 7–8 September 2026. One-time M7 repatriation / localization package equals 1.5 times monthly salary for repatriates.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-29</xdr:colOff>
                <xdr:row>6</xdr:row>
                <xdr:rowOff>8</xdr:rowOff>
              </xdr:to>
            </anchor>
          </commentPr>
        </mc:Choice>
        <mc:Fallback/>
      </mc:AlternateContent>
    </comment>
    <comment ref="J23" authorId="0">
      <text>
        <r>
          <rPr>
            <sz val="10"/>
            <rFont val="Arial"/>
            <family val="2"/>
          </rPr>
          <t xml:space="preserve">Source: management instruction in this task through 7–8 September 2026. One-time M7 repatriation / localization package equals 1.5 times monthly salary for repatriates.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-29</xdr:colOff>
                <xdr:row>6</xdr:row>
                <xdr:rowOff>8</xdr:rowOff>
              </xdr:to>
            </anchor>
          </commentPr>
        </mc:Choice>
        <mc:Fallback/>
      </mc:AlternateContent>
    </comment>
    <comment ref="J24" authorId="0">
      <text>
        <r>
          <rPr>
            <sz val="10"/>
            <rFont val="Arial"/>
            <family val="2"/>
          </rPr>
          <t xml:space="preserve">Source: management instruction in this task through 7–8 September 2026. One-time M7 repatriation / localization package equals 1.5 times monthly salary for repatriates.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-29</xdr:colOff>
                <xdr:row>6</xdr:row>
                <xdr:rowOff>8</xdr:rowOff>
              </xdr:to>
            </anchor>
          </commentPr>
        </mc:Choice>
        <mc:Fallback/>
      </mc:AlternateContent>
    </comment>
    <comment ref="J25" authorId="0">
      <text>
        <r>
          <rPr>
            <sz val="10"/>
            <rFont val="Arial"/>
            <family val="2"/>
          </rPr>
          <t xml:space="preserve">Source: management instruction in this task through 7–8 September 2026. One-time M7 repatriation / localization package equals 1.5 times monthly salary for repatriates.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-29</xdr:colOff>
                <xdr:row>6</xdr:row>
                <xdr:rowOff>8</xdr:rowOff>
              </xdr:to>
            </anchor>
          </commentPr>
        </mc:Choice>
        <mc:Fallback/>
      </mc:AlternateContent>
    </comment>
    <comment ref="J26" authorId="0">
      <text>
        <r>
          <rPr>
            <sz val="10"/>
            <rFont val="Arial"/>
            <family val="2"/>
          </rPr>
          <t xml:space="preserve">Source: management instruction in this task through 7–8 September 2026. One-time M7 repatriation / localization package equals 1.5 times monthly salary for repatriates.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-29</xdr:colOff>
                <xdr:row>6</xdr:row>
                <xdr:rowOff>8</xdr:rowOff>
              </xdr:to>
            </anchor>
          </commentPr>
        </mc:Choice>
        <mc:Fallback/>
      </mc:AlternateContent>
    </comment>
    <comment ref="J27" authorId="0">
      <text>
        <r>
          <rPr>
            <sz val="10"/>
            <rFont val="Arial"/>
            <family val="2"/>
          </rPr>
          <t xml:space="preserve">Source: management instruction in this task through 7–8 September 2026. One-time M7 repatriation / localization package equals 1.5 times monthly salary for repatriates.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-29</xdr:colOff>
                <xdr:row>6</xdr:row>
                <xdr:rowOff>8</xdr:rowOff>
              </xdr:to>
            </anchor>
          </commentPr>
        </mc:Choice>
        <mc:Fallback/>
      </mc:AlternateContent>
    </comment>
    <comment ref="J28" authorId="0">
      <text>
        <r>
          <rPr>
            <sz val="10"/>
            <rFont val="Arial"/>
            <family val="2"/>
          </rPr>
          <t xml:space="preserve">Source: management instruction in this task through 7–8 September 2026. One-time M7 repatriation / localization package equals 1.5 times monthly salary for repatriates.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-29</xdr:colOff>
                <xdr:row>6</xdr:row>
                <xdr:rowOff>8</xdr:rowOff>
              </xdr:to>
            </anchor>
          </commentPr>
        </mc:Choice>
        <mc:Fallback/>
      </mc:AlternateContent>
    </comment>
    <comment ref="J29" authorId="0">
      <text>
        <r>
          <rPr>
            <sz val="10"/>
            <rFont val="Arial"/>
            <family val="2"/>
          </rPr>
          <t xml:space="preserve">Source: management instruction in this task through 7–8 September 2026. One-time M7 repatriation / localization package equals 1.5 times monthly salary for repatriates.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-29</xdr:colOff>
                <xdr:row>6</xdr:row>
                <xdr:rowOff>8</xdr:rowOff>
              </xdr:to>
            </anchor>
          </commentPr>
        </mc:Choice>
        <mc:Fallback/>
      </mc:AlternateContent>
    </comment>
    <comment ref="K21" authorId="0">
      <text>
        <r>
          <rPr>
            <sz val="10"/>
            <rFont val="Arial"/>
            <family val="2"/>
          </rPr>
          <t xml:space="preserve">Source: management instruction in this task through 7–8 September 2026. Alan McKeon receives $2,000/month housing from M7 due to family relocation to Maracaibo.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-29</xdr:colOff>
                <xdr:row>6</xdr:row>
                <xdr:rowOff>8</xdr:rowOff>
              </xdr:to>
            </anchor>
          </commentPr>
        </mc:Choice>
        <mc:Fallback/>
      </mc:AlternateContent>
    </comment>
    <comment ref="K22" authorId="0">
      <text>
        <r>
          <rPr>
            <sz val="10"/>
            <rFont val="Arial"/>
            <family val="2"/>
          </rPr>
          <t xml:space="preserve">Source: management instruction in this task through 7–8 September 2026. Alan McKeon receives $2,000/month housing from M7 due to family relocation to Maracaibo.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-29</xdr:colOff>
                <xdr:row>6</xdr:row>
                <xdr:rowOff>8</xdr:rowOff>
              </xdr:to>
            </anchor>
          </commentPr>
        </mc:Choice>
        <mc:Fallback/>
      </mc:AlternateContent>
    </comment>
    <comment ref="K23" authorId="0">
      <text>
        <r>
          <rPr>
            <sz val="10"/>
            <rFont val="Arial"/>
            <family val="2"/>
          </rPr>
          <t xml:space="preserve">Source: management instruction in this task through 7–8 September 2026. Alan McKeon receives $2,000/month housing from M7 due to family relocation to Maracaibo.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-29</xdr:colOff>
                <xdr:row>6</xdr:row>
                <xdr:rowOff>8</xdr:rowOff>
              </xdr:to>
            </anchor>
          </commentPr>
        </mc:Choice>
        <mc:Fallback/>
      </mc:AlternateContent>
    </comment>
    <comment ref="K24" authorId="0">
      <text>
        <r>
          <rPr>
            <sz val="10"/>
            <rFont val="Arial"/>
            <family val="2"/>
          </rPr>
          <t xml:space="preserve">Source: management instruction in this task through 7–8 September 2026. Alan McKeon receives $2,000/month housing from M7 due to family relocation to Maracaibo.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-29</xdr:colOff>
                <xdr:row>6</xdr:row>
                <xdr:rowOff>8</xdr:rowOff>
              </xdr:to>
            </anchor>
          </commentPr>
        </mc:Choice>
        <mc:Fallback/>
      </mc:AlternateContent>
    </comment>
    <comment ref="K25" authorId="0">
      <text>
        <r>
          <rPr>
            <sz val="10"/>
            <rFont val="Arial"/>
            <family val="2"/>
          </rPr>
          <t xml:space="preserve">Source: management instruction in this task through 7–8 September 2026. Alan McKeon receives $2,000/month housing from M7 due to family relocation to Maracaibo.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-29</xdr:colOff>
                <xdr:row>6</xdr:row>
                <xdr:rowOff>8</xdr:rowOff>
              </xdr:to>
            </anchor>
          </commentPr>
        </mc:Choice>
        <mc:Fallback/>
      </mc:AlternateContent>
    </comment>
    <comment ref="K26" authorId="0">
      <text>
        <r>
          <rPr>
            <sz val="10"/>
            <rFont val="Arial"/>
            <family val="2"/>
          </rPr>
          <t xml:space="preserve">Source: management instruction in this task through 7–8 September 2026. Alan McKeon receives $2,000/month housing from M7 due to family relocation to Maracaibo.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-29</xdr:colOff>
                <xdr:row>6</xdr:row>
                <xdr:rowOff>8</xdr:rowOff>
              </xdr:to>
            </anchor>
          </commentPr>
        </mc:Choice>
        <mc:Fallback/>
      </mc:AlternateContent>
    </comment>
    <comment ref="K27" authorId="0">
      <text>
        <r>
          <rPr>
            <sz val="10"/>
            <rFont val="Arial"/>
            <family val="2"/>
          </rPr>
          <t xml:space="preserve">Source: management instruction in this task through 7–8 September 2026. Alan McKeon receives $2,000/month housing from M7 due to family relocation to Maracaibo.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-29</xdr:colOff>
                <xdr:row>6</xdr:row>
                <xdr:rowOff>8</xdr:rowOff>
              </xdr:to>
            </anchor>
          </commentPr>
        </mc:Choice>
        <mc:Fallback/>
      </mc:AlternateContent>
    </comment>
    <comment ref="K28" authorId="0">
      <text>
        <r>
          <rPr>
            <sz val="10"/>
            <rFont val="Arial"/>
            <family val="2"/>
          </rPr>
          <t xml:space="preserve">Source: management instruction in this task through 7–8 September 2026. Alan McKeon receives $2,000/month housing from M7 due to family relocation to Maracaibo.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-29</xdr:colOff>
                <xdr:row>6</xdr:row>
                <xdr:rowOff>8</xdr:rowOff>
              </xdr:to>
            </anchor>
          </commentPr>
        </mc:Choice>
        <mc:Fallback/>
      </mc:AlternateContent>
    </comment>
    <comment ref="K29" authorId="0">
      <text>
        <r>
          <rPr>
            <sz val="10"/>
            <rFont val="Arial"/>
            <family val="2"/>
          </rPr>
          <t xml:space="preserve">Source: management instruction in this task through 7–8 September 2026. Alan McKeon receives $2,000/month housing from M7 due to family relocation to Maracaibo.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-29</xdr:colOff>
                <xdr:row>6</xdr:row>
                <xdr:rowOff>8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<sst xmlns="http://schemas.openxmlformats.org/spreadsheetml/2006/main" count="77" uniqueCount="58">
  <si>
    <t xml:space="preserve">Petrourdaneta — Manpower Cost Summary</t>
  </si>
  <si>
    <t xml:space="preserve">Single-sheet executive model | Overall monthly and annual manpower cost | COO excluded | USD</t>
  </si>
  <si>
    <t xml:space="preserve">Blue = source input | Black = formula | Values shown are management-planning costs</t>
  </si>
  <si>
    <t xml:space="preserve">BIG NOTE — Alexander Stulme, Alan McKeon and Martin Aguero are PU-paid secondees. Martin is already assigned to the project as a local secondee. Repatriates receive the one-time transition package in M7 and then become local. Alan remains the only expat and receives $2,000/month housing from M7.</t>
  </si>
  <si>
    <t xml:space="preserve">OVERALL MANPOWER COST</t>
  </si>
  <si>
    <t xml:space="preserve">COST POLICY</t>
  </si>
  <si>
    <t xml:space="preserve">Metric</t>
  </si>
  <si>
    <t xml:space="preserve">M1–M6 / Month</t>
  </si>
  <si>
    <t xml:space="preserve">M7</t>
  </si>
  <si>
    <t xml:space="preserve">M8–M12 / Month</t>
  </si>
  <si>
    <t xml:space="preserve">Year 1</t>
  </si>
  <si>
    <t xml:space="preserve">M1–M6: salary + health care for everyone. M7: repatriates receive a one-time package equal to 1.5x monthly salary. M7+: Alan has $2,000/month housing. Home leave is stated but not costed. Local employees, including repatriates after M7 and Martin, have 30 paid vacation days included within salary.</t>
  </si>
  <si>
    <t xml:space="preserve">Gross manpower cost</t>
  </si>
  <si>
    <t xml:space="preserve">Less: PU-paid secondees</t>
  </si>
  <si>
    <t xml:space="preserve">NET manpower cost</t>
  </si>
  <si>
    <t xml:space="preserve">PERSONNEL COST, CONTRACT AND BENEFIT SUMMARY</t>
  </si>
  <si>
    <t xml:space="preserve">Person</t>
  </si>
  <si>
    <t xml:space="preserve">Position</t>
  </si>
  <si>
    <t xml:space="preserve">M1–M6 Contract</t>
  </si>
  <si>
    <t xml:space="preserve">M7+ Basis</t>
  </si>
  <si>
    <t xml:space="preserve">PU-Paid?</t>
  </si>
  <si>
    <t xml:space="preserve">Annual Salary</t>
  </si>
  <si>
    <t xml:space="preserve">Health / Year</t>
  </si>
  <si>
    <t xml:space="preserve">M7 Package</t>
  </si>
  <si>
    <t xml:space="preserve">Housing / Month</t>
  </si>
  <si>
    <t xml:space="preserve">M1–M6 / Mo</t>
  </si>
  <si>
    <t xml:space="preserve">M7 Cost</t>
  </si>
  <si>
    <t xml:space="preserve">M8–M12 / Mo</t>
  </si>
  <si>
    <t xml:space="preserve">Year 1 Cost</t>
  </si>
  <si>
    <t xml:space="preserve">Juan Conde</t>
  </si>
  <si>
    <t xml:space="preserve">EPCM &amp; Engineering Manager</t>
  </si>
  <si>
    <t xml:space="preserve">Repatriate</t>
  </si>
  <si>
    <t xml:space="preserve">Local — Venezuela</t>
  </si>
  <si>
    <t xml:space="preserve">No</t>
  </si>
  <si>
    <t xml:space="preserve">Alexander Stulme</t>
  </si>
  <si>
    <t xml:space="preserve">Drilling &amp; Well Services Manager</t>
  </si>
  <si>
    <t xml:space="preserve">Yes</t>
  </si>
  <si>
    <t xml:space="preserve">Félix Valderrama</t>
  </si>
  <si>
    <t xml:space="preserve">Operations &amp; Maintenance Manager</t>
  </si>
  <si>
    <t xml:space="preserve">Alan McKeon</t>
  </si>
  <si>
    <t xml:space="preserve">Technical Manager (Geosciences)</t>
  </si>
  <si>
    <t xml:space="preserve">Expat</t>
  </si>
  <si>
    <t xml:space="preserve">JJI</t>
  </si>
  <si>
    <t xml:space="preserve">Reservoir Engineer</t>
  </si>
  <si>
    <t xml:space="preserve">Local</t>
  </si>
  <si>
    <t xml:space="preserve">Marcelo Dantas</t>
  </si>
  <si>
    <t xml:space="preserve">Rig Company Man</t>
  </si>
  <si>
    <t xml:space="preserve">Jose Miguel</t>
  </si>
  <si>
    <t xml:space="preserve">Planning &amp; PMO</t>
  </si>
  <si>
    <t xml:space="preserve">TBD — Person to be defined</t>
  </si>
  <si>
    <t xml:space="preserve">Operations Support</t>
  </si>
  <si>
    <t xml:space="preserve">TBD</t>
  </si>
  <si>
    <t xml:space="preserve">Martin Aguero</t>
  </si>
  <si>
    <t xml:space="preserve">Infrastructure Manager</t>
  </si>
  <si>
    <t xml:space="preserve">Local Secondee</t>
  </si>
  <si>
    <t xml:space="preserve">TOTAL GROSS MANPOWER COST</t>
  </si>
  <si>
    <t xml:space="preserve">REFERENCES AND MODEL SCOPE</t>
  </si>
  <si>
    <t xml:space="preserve">References: user-provided annual compensation table reviewed 7–8 September 2026, and management instructions in this task on contract type, benefits, PU secondments and cost responsibility. This is a management-planning cost model. No company tax gross-up or double-taxation cost is modeled for repatriates after localization. Expat tax support, statutory contributions, transport, stock options and future bonus plans require separate approval and specialist review.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</si>
</sst>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$#,##0.0;[RED]&quot;($&quot;#,##0.0\);\-"/>
    <numFmt numFmtId="166" formatCode="#,##0.0;[RED]&quot;($&quot;#,##0.0\);\-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35B44"/>
        <bgColor rgb="FF333333"/>
      </patternFill>
    </fill>
    <fill>
      <patternFill patternType="solid">
        <fgColor rgb="FFCFE9E0"/>
        <bgColor rgb="FFCCFFFF"/>
      </patternFill>
    </fill>
    <fill>
      <patternFill patternType="solid">
        <fgColor rgb="FFFFF3E0"/>
        <bgColor rgb="FFFFFFFF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/>
      <top style="thin">
        <color rgb="FFB7B7B7"/>
      </top>
      <bottom style="thin">
        <color rgb="FFB7B7B7"/>
      </bottom>
      <diagonal/>
    </border>
    <border diagonalUp="false" diagonalDown="false">
      <left/>
      <right/>
      <top style="thin">
        <color rgb="FFB7B7B7"/>
      </top>
      <bottom style="thin">
        <color rgb="FFB7B7B7"/>
      </bottom>
      <diagonal/>
    </border>
    <border diagonalUp="false" diagonalDown="false">
      <left/>
      <right style="thin">
        <color rgb="FFB7B7B7"/>
      </right>
      <top style="thin">
        <color rgb="FFB7B7B7"/>
      </top>
      <bottom style="thin">
        <color rgb="FFB7B7B7"/>
      </bottom>
      <diagonal/>
    </border>
    <border diagonalUp="false" diagonalDown="false">
      <left/>
      <right/>
      <top style="medium"/>
      <bottom style="double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9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9" fillId="0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0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9" fillId="0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3E0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FE9E0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35B4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C3:O36"/>
  <sheetViews>
    <sheetView showFormulas="false" showGridLines="false" showRowColHeaders="true" showZeros="true" rightToLeft="false" tabSelected="true" showOutlineSymbols="true" defaultGridColor="true" view="normal" topLeftCell="A1" colorId="64" zoomScale="95" zoomScaleNormal="95" zoomScalePageLayoutView="100" workbookViewId="0">
      <pane xSplit="2" ySplit="19" topLeftCell="C20" activePane="bottomRight" state="frozen"/>
      <selection pane="topLeft" activeCell="A1" activeCellId="0" sqref="A1"/>
      <selection pane="topRight" activeCell="C1" activeCellId="0" sqref="C1"/>
      <selection pane="bottomLeft" activeCell="A20" activeCellId="0" sqref="A20"/>
      <selection pane="bottomRigh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2" min="1" style="0" width="3"/>
    <col collapsed="false" customWidth="true" hidden="false" outlineLevel="0" max="3" min="3" style="0" width="24"/>
    <col collapsed="false" customWidth="true" hidden="false" outlineLevel="0" max="4" min="4" style="0" width="30"/>
    <col collapsed="false" customWidth="true" hidden="false" outlineLevel="0" max="5" min="5" style="0" width="15"/>
    <col collapsed="false" customWidth="true" hidden="false" outlineLevel="0" max="6" min="6" style="0" width="16"/>
    <col collapsed="false" customWidth="true" hidden="false" outlineLevel="0" max="7" min="7" style="0" width="12"/>
    <col collapsed="false" customWidth="true" hidden="false" outlineLevel="0" max="8" min="8" style="0" width="15"/>
    <col collapsed="false" customWidth="true" hidden="false" outlineLevel="0" max="12" min="9" style="0" width="14"/>
    <col collapsed="false" customWidth="true" hidden="false" outlineLevel="0" max="14" min="13" style="0" width="15"/>
    <col collapsed="false" customWidth="true" hidden="false" outlineLevel="0" max="15" min="15" style="0" width="16"/>
  </cols>
  <sheetData>
    <row r="3" customFormat="false" ht="27" hidden="false" customHeight="true" outlineLevel="0" collapsed="false">
      <c r="C3" s="1" t="s">
        <v>0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5" customFormat="false" ht="15" hidden="false" customHeight="false" outlineLevel="0" collapsed="false">
      <c r="C5" s="2" t="s">
        <v>1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customFormat="false" ht="15" hidden="false" customHeight="false" outlineLevel="0" collapsed="false">
      <c r="C6" s="3" t="s">
        <v>2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8" customFormat="false" ht="42" hidden="false" customHeight="true" outlineLevel="0" collapsed="false">
      <c r="C8" s="4" t="s">
        <v>3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</row>
    <row r="9" customFormat="false" ht="15" hidden="false" customHeight="false" outlineLevel="0" collapsed="false"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</row>
    <row r="11" customFormat="false" ht="21.75" hidden="false" customHeight="true" outlineLevel="0" collapsed="false">
      <c r="C11" s="5" t="s">
        <v>4</v>
      </c>
      <c r="D11" s="5"/>
      <c r="E11" s="5"/>
      <c r="F11" s="5"/>
      <c r="G11" s="5"/>
      <c r="I11" s="5" t="s">
        <v>5</v>
      </c>
      <c r="J11" s="5"/>
      <c r="K11" s="5"/>
      <c r="L11" s="5"/>
      <c r="M11" s="5"/>
      <c r="N11" s="5"/>
      <c r="O11" s="5"/>
    </row>
    <row r="12" customFormat="false" ht="66" hidden="false" customHeight="true" outlineLevel="0" collapsed="false">
      <c r="C12" s="6" t="s">
        <v>6</v>
      </c>
      <c r="D12" s="7" t="s">
        <v>7</v>
      </c>
      <c r="E12" s="8" t="s">
        <v>8</v>
      </c>
      <c r="F12" s="7" t="s">
        <v>9</v>
      </c>
      <c r="G12" s="9" t="s">
        <v>10</v>
      </c>
      <c r="I12" s="10" t="s">
        <v>11</v>
      </c>
      <c r="J12" s="10"/>
      <c r="K12" s="10"/>
      <c r="L12" s="10"/>
      <c r="M12" s="10"/>
      <c r="N12" s="10"/>
      <c r="O12" s="10"/>
    </row>
    <row r="13" customFormat="false" ht="21.75" hidden="false" customHeight="true" outlineLevel="0" collapsed="false">
      <c r="C13" s="11" t="s">
        <v>12</v>
      </c>
      <c r="D13" s="12" t="n">
        <f aca="false">SUM(L21:L29)</f>
        <v>122333.333333333</v>
      </c>
      <c r="E13" s="13" t="n">
        <f aca="false">SUM(M21:M29)</f>
        <v>200833.333333333</v>
      </c>
      <c r="F13" s="13" t="n">
        <f aca="false">SUM(N21:N29)</f>
        <v>124333.333333333</v>
      </c>
      <c r="G13" s="14" t="n">
        <f aca="false">SUM(O21:O29)</f>
        <v>1556500</v>
      </c>
      <c r="I13" s="10"/>
      <c r="J13" s="10"/>
      <c r="K13" s="10"/>
      <c r="L13" s="10"/>
      <c r="M13" s="10"/>
      <c r="N13" s="10"/>
      <c r="O13" s="10"/>
    </row>
    <row r="14" customFormat="false" ht="21.75" hidden="false" customHeight="true" outlineLevel="0" collapsed="false">
      <c r="C14" s="11" t="s">
        <v>13</v>
      </c>
      <c r="D14" s="13" t="n">
        <f aca="false">-SUMIF($G$21:$G$29,"Yes",$L$21:$L$29)</f>
        <v>-48000</v>
      </c>
      <c r="E14" s="13" t="n">
        <f aca="false">-SUMIF($G$21:$G$29,"Yes",$M$21:$M$29)</f>
        <v>-72500</v>
      </c>
      <c r="F14" s="13" t="n">
        <f aca="false">-SUMIF($G$21:$G$29,"Yes",$N$21:$N$29)</f>
        <v>-50000</v>
      </c>
      <c r="G14" s="14" t="n">
        <f aca="false">-SUMIF($G$21:$G$29,"Yes",$O$21:$O$29)</f>
        <v>-610500</v>
      </c>
      <c r="I14" s="10"/>
      <c r="J14" s="10"/>
      <c r="K14" s="10"/>
      <c r="L14" s="10"/>
      <c r="M14" s="10"/>
      <c r="N14" s="10"/>
      <c r="O14" s="10"/>
    </row>
    <row r="15" customFormat="false" ht="21.75" hidden="false" customHeight="true" outlineLevel="0" collapsed="false">
      <c r="C15" s="15" t="s">
        <v>14</v>
      </c>
      <c r="D15" s="16" t="n">
        <f aca="false">D13+D14</f>
        <v>74333.3333333333</v>
      </c>
      <c r="E15" s="16" t="n">
        <f aca="false">E13+E14</f>
        <v>128333.333333333</v>
      </c>
      <c r="F15" s="16" t="n">
        <f aca="false">F13+F14</f>
        <v>74333.3333333333</v>
      </c>
      <c r="G15" s="16" t="n">
        <f aca="false">G13+G14</f>
        <v>946000</v>
      </c>
      <c r="I15" s="10"/>
      <c r="J15" s="10"/>
      <c r="K15" s="10"/>
      <c r="L15" s="10"/>
      <c r="M15" s="10"/>
      <c r="N15" s="10"/>
      <c r="O15" s="10"/>
    </row>
    <row r="18" customFormat="false" ht="21.75" hidden="false" customHeight="true" outlineLevel="0" collapsed="false">
      <c r="C18" s="5" t="s">
        <v>15</v>
      </c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</row>
    <row r="20" customFormat="false" ht="33.75" hidden="false" customHeight="true" outlineLevel="0" collapsed="false">
      <c r="C20" s="6" t="s">
        <v>16</v>
      </c>
      <c r="D20" s="7" t="s">
        <v>17</v>
      </c>
      <c r="E20" s="7" t="s">
        <v>18</v>
      </c>
      <c r="F20" s="7" t="s">
        <v>19</v>
      </c>
      <c r="G20" s="7" t="s">
        <v>20</v>
      </c>
      <c r="H20" s="7" t="s">
        <v>21</v>
      </c>
      <c r="I20" s="7" t="s">
        <v>22</v>
      </c>
      <c r="J20" s="7" t="s">
        <v>23</v>
      </c>
      <c r="K20" s="7" t="s">
        <v>24</v>
      </c>
      <c r="L20" s="7" t="s">
        <v>25</v>
      </c>
      <c r="M20" s="8" t="s">
        <v>26</v>
      </c>
      <c r="N20" s="7" t="s">
        <v>27</v>
      </c>
      <c r="O20" s="9" t="s">
        <v>28</v>
      </c>
    </row>
    <row r="21" customFormat="false" ht="24" hidden="false" customHeight="true" outlineLevel="0" collapsed="false">
      <c r="C21" s="17" t="s">
        <v>29</v>
      </c>
      <c r="D21" s="18" t="s">
        <v>30</v>
      </c>
      <c r="E21" s="18" t="s">
        <v>31</v>
      </c>
      <c r="F21" s="18" t="s">
        <v>32</v>
      </c>
      <c r="G21" s="19" t="s">
        <v>33</v>
      </c>
      <c r="H21" s="20" t="n">
        <v>216000</v>
      </c>
      <c r="I21" s="21" t="n">
        <v>12000</v>
      </c>
      <c r="J21" s="13" t="n">
        <f aca="false">IF(E21="Repatriate",1.5*H21/12,0)</f>
        <v>27000</v>
      </c>
      <c r="K21" s="13" t="n">
        <f aca="false">IF(C21="Alan McKeon",2000,0)</f>
        <v>0</v>
      </c>
      <c r="L21" s="12" t="n">
        <f aca="false">H21/12+I21/12</f>
        <v>19000</v>
      </c>
      <c r="M21" s="13" t="n">
        <f aca="false">L21+J21+K21</f>
        <v>46000</v>
      </c>
      <c r="N21" s="13" t="n">
        <f aca="false">L21+K21</f>
        <v>19000</v>
      </c>
      <c r="O21" s="22" t="n">
        <f aca="false">6*L21+M21+5*N21</f>
        <v>255000</v>
      </c>
    </row>
    <row r="22" customFormat="false" ht="24" hidden="false" customHeight="true" outlineLevel="0" collapsed="false">
      <c r="C22" s="17" t="s">
        <v>34</v>
      </c>
      <c r="D22" s="18" t="s">
        <v>35</v>
      </c>
      <c r="E22" s="18" t="s">
        <v>31</v>
      </c>
      <c r="F22" s="18" t="s">
        <v>32</v>
      </c>
      <c r="G22" s="19" t="s">
        <v>36</v>
      </c>
      <c r="H22" s="21" t="n">
        <v>180000</v>
      </c>
      <c r="I22" s="21" t="n">
        <v>12000</v>
      </c>
      <c r="J22" s="13" t="n">
        <f aca="false">IF(E22="Repatriate",1.5*H22/12,0)</f>
        <v>22500</v>
      </c>
      <c r="K22" s="13" t="n">
        <f aca="false">IF(C22="Alan McKeon",2000,0)</f>
        <v>0</v>
      </c>
      <c r="L22" s="13" t="n">
        <f aca="false">H22/12+I22/12</f>
        <v>16000</v>
      </c>
      <c r="M22" s="13" t="n">
        <f aca="false">L22+J22+K22</f>
        <v>38500</v>
      </c>
      <c r="N22" s="13" t="n">
        <f aca="false">L22+K22</f>
        <v>16000</v>
      </c>
      <c r="O22" s="14" t="n">
        <f aca="false">6*L22+M22+5*N22</f>
        <v>214500</v>
      </c>
    </row>
    <row r="23" customFormat="false" ht="24" hidden="false" customHeight="true" outlineLevel="0" collapsed="false">
      <c r="C23" s="17" t="s">
        <v>37</v>
      </c>
      <c r="D23" s="18" t="s">
        <v>38</v>
      </c>
      <c r="E23" s="18" t="s">
        <v>31</v>
      </c>
      <c r="F23" s="18" t="s">
        <v>32</v>
      </c>
      <c r="G23" s="19" t="s">
        <v>33</v>
      </c>
      <c r="H23" s="21" t="n">
        <v>216000</v>
      </c>
      <c r="I23" s="21" t="n">
        <v>12000</v>
      </c>
      <c r="J23" s="13" t="n">
        <f aca="false">IF(E23="Repatriate",1.5*H23/12,0)</f>
        <v>27000</v>
      </c>
      <c r="K23" s="13" t="n">
        <f aca="false">IF(C23="Alan McKeon",2000,0)</f>
        <v>0</v>
      </c>
      <c r="L23" s="13" t="n">
        <f aca="false">H23/12+I23/12</f>
        <v>19000</v>
      </c>
      <c r="M23" s="13" t="n">
        <f aca="false">L23+J23+K23</f>
        <v>46000</v>
      </c>
      <c r="N23" s="13" t="n">
        <f aca="false">L23+K23</f>
        <v>19000</v>
      </c>
      <c r="O23" s="14" t="n">
        <f aca="false">6*L23+M23+5*N23</f>
        <v>255000</v>
      </c>
    </row>
    <row r="24" customFormat="false" ht="24" hidden="false" customHeight="true" outlineLevel="0" collapsed="false">
      <c r="C24" s="17" t="s">
        <v>39</v>
      </c>
      <c r="D24" s="18" t="s">
        <v>40</v>
      </c>
      <c r="E24" s="18" t="s">
        <v>41</v>
      </c>
      <c r="F24" s="18" t="s">
        <v>41</v>
      </c>
      <c r="G24" s="19" t="s">
        <v>36</v>
      </c>
      <c r="H24" s="21" t="n">
        <v>180000</v>
      </c>
      <c r="I24" s="21" t="n">
        <v>12000</v>
      </c>
      <c r="J24" s="13" t="n">
        <f aca="false">IF(E24="Repatriate",1.5*H24/12,0)</f>
        <v>0</v>
      </c>
      <c r="K24" s="13" t="n">
        <f aca="false">IF(C24="Alan McKeon",2000,0)</f>
        <v>2000</v>
      </c>
      <c r="L24" s="13" t="n">
        <f aca="false">H24/12+I24/12</f>
        <v>16000</v>
      </c>
      <c r="M24" s="13" t="n">
        <f aca="false">L24+J24+K24</f>
        <v>18000</v>
      </c>
      <c r="N24" s="13" t="n">
        <f aca="false">L24+K24</f>
        <v>18000</v>
      </c>
      <c r="O24" s="14" t="n">
        <f aca="false">6*L24+M24+5*N24</f>
        <v>204000</v>
      </c>
    </row>
    <row r="25" customFormat="false" ht="24" hidden="false" customHeight="true" outlineLevel="0" collapsed="false">
      <c r="C25" s="17" t="s">
        <v>42</v>
      </c>
      <c r="D25" s="18" t="s">
        <v>43</v>
      </c>
      <c r="E25" s="18" t="s">
        <v>44</v>
      </c>
      <c r="F25" s="18" t="s">
        <v>44</v>
      </c>
      <c r="G25" s="19" t="s">
        <v>33</v>
      </c>
      <c r="H25" s="21" t="n">
        <v>120000</v>
      </c>
      <c r="I25" s="21" t="n">
        <v>12000</v>
      </c>
      <c r="J25" s="13" t="n">
        <f aca="false">IF(E25="Repatriate",1.5*H25/12,0)</f>
        <v>0</v>
      </c>
      <c r="K25" s="13" t="n">
        <f aca="false">IF(C25="Alan McKeon",2000,0)</f>
        <v>0</v>
      </c>
      <c r="L25" s="13" t="n">
        <f aca="false">H25/12+I25/12</f>
        <v>11000</v>
      </c>
      <c r="M25" s="13" t="n">
        <f aca="false">L25+J25+K25</f>
        <v>11000</v>
      </c>
      <c r="N25" s="13" t="n">
        <f aca="false">L25+K25</f>
        <v>11000</v>
      </c>
      <c r="O25" s="14" t="n">
        <f aca="false">6*L25+M25+5*N25</f>
        <v>132000</v>
      </c>
    </row>
    <row r="26" customFormat="false" ht="24" hidden="false" customHeight="true" outlineLevel="0" collapsed="false">
      <c r="C26" s="17" t="s">
        <v>45</v>
      </c>
      <c r="D26" s="18" t="s">
        <v>46</v>
      </c>
      <c r="E26" s="18" t="s">
        <v>41</v>
      </c>
      <c r="F26" s="18" t="s">
        <v>41</v>
      </c>
      <c r="G26" s="19" t="s">
        <v>33</v>
      </c>
      <c r="H26" s="21" t="n">
        <v>180000</v>
      </c>
      <c r="I26" s="21" t="n">
        <v>12000</v>
      </c>
      <c r="J26" s="13" t="n">
        <f aca="false">IF(E26="Repatriate",1.5*H26/12,0)</f>
        <v>0</v>
      </c>
      <c r="K26" s="13" t="n">
        <f aca="false">IF(C26="Alan McKeon",2000,0)</f>
        <v>0</v>
      </c>
      <c r="L26" s="13" t="n">
        <f aca="false">H26/12+I26/12</f>
        <v>16000</v>
      </c>
      <c r="M26" s="13" t="n">
        <f aca="false">L26+J26+K26</f>
        <v>16000</v>
      </c>
      <c r="N26" s="13" t="n">
        <f aca="false">L26+K26</f>
        <v>16000</v>
      </c>
      <c r="O26" s="14" t="n">
        <f aca="false">6*L26+M26+5*N26</f>
        <v>192000</v>
      </c>
    </row>
    <row r="27" customFormat="false" ht="24" hidden="false" customHeight="true" outlineLevel="0" collapsed="false">
      <c r="C27" s="17" t="s">
        <v>47</v>
      </c>
      <c r="D27" s="18" t="s">
        <v>48</v>
      </c>
      <c r="E27" s="18" t="s">
        <v>44</v>
      </c>
      <c r="F27" s="18" t="s">
        <v>44</v>
      </c>
      <c r="G27" s="19" t="s">
        <v>33</v>
      </c>
      <c r="H27" s="21" t="n">
        <v>48000</v>
      </c>
      <c r="I27" s="21" t="n">
        <v>8000</v>
      </c>
      <c r="J27" s="13" t="n">
        <f aca="false">IF(E27="Repatriate",1.5*H27/12,0)</f>
        <v>0</v>
      </c>
      <c r="K27" s="13" t="n">
        <f aca="false">IF(C27="Alan McKeon",2000,0)</f>
        <v>0</v>
      </c>
      <c r="L27" s="13" t="n">
        <f aca="false">H27/12+I27/12</f>
        <v>4666.66666666667</v>
      </c>
      <c r="M27" s="13" t="n">
        <f aca="false">L27+J27+K27</f>
        <v>4666.66666666667</v>
      </c>
      <c r="N27" s="13" t="n">
        <f aca="false">L27+K27</f>
        <v>4666.66666666667</v>
      </c>
      <c r="O27" s="14" t="n">
        <f aca="false">6*L27+M27+5*N27</f>
        <v>56000</v>
      </c>
    </row>
    <row r="28" customFormat="false" ht="24" hidden="false" customHeight="true" outlineLevel="0" collapsed="false">
      <c r="C28" s="17" t="s">
        <v>49</v>
      </c>
      <c r="D28" s="18" t="s">
        <v>50</v>
      </c>
      <c r="E28" s="18" t="s">
        <v>51</v>
      </c>
      <c r="F28" s="18" t="s">
        <v>51</v>
      </c>
      <c r="G28" s="19" t="s">
        <v>33</v>
      </c>
      <c r="H28" s="21" t="n">
        <v>48000</v>
      </c>
      <c r="I28" s="21" t="n">
        <v>8000</v>
      </c>
      <c r="J28" s="13" t="n">
        <f aca="false">IF(E28="Repatriate",1.5*H28/12,0)</f>
        <v>0</v>
      </c>
      <c r="K28" s="13" t="n">
        <f aca="false">IF(C28="Alan McKeon",2000,0)</f>
        <v>0</v>
      </c>
      <c r="L28" s="13" t="n">
        <f aca="false">H28/12+I28/12</f>
        <v>4666.66666666667</v>
      </c>
      <c r="M28" s="13" t="n">
        <f aca="false">L28+J28+K28</f>
        <v>4666.66666666667</v>
      </c>
      <c r="N28" s="13" t="n">
        <f aca="false">L28+K28</f>
        <v>4666.66666666667</v>
      </c>
      <c r="O28" s="14" t="n">
        <f aca="false">6*L28+M28+5*N28</f>
        <v>56000</v>
      </c>
    </row>
    <row r="29" customFormat="false" ht="24" hidden="false" customHeight="true" outlineLevel="0" collapsed="false">
      <c r="C29" s="17" t="s">
        <v>52</v>
      </c>
      <c r="D29" s="18" t="s">
        <v>53</v>
      </c>
      <c r="E29" s="18" t="s">
        <v>54</v>
      </c>
      <c r="F29" s="18" t="s">
        <v>44</v>
      </c>
      <c r="G29" s="19" t="s">
        <v>36</v>
      </c>
      <c r="H29" s="21" t="n">
        <v>180000</v>
      </c>
      <c r="I29" s="21" t="n">
        <v>12000</v>
      </c>
      <c r="J29" s="13" t="n">
        <f aca="false">IF(E29="Repatriate",1.5*H29/12,0)</f>
        <v>0</v>
      </c>
      <c r="K29" s="13" t="n">
        <f aca="false">IF(C29="Alan McKeon",2000,0)</f>
        <v>0</v>
      </c>
      <c r="L29" s="13" t="n">
        <f aca="false">H29/12+I29/12</f>
        <v>16000</v>
      </c>
      <c r="M29" s="13" t="n">
        <f aca="false">L29+J29+K29</f>
        <v>16000</v>
      </c>
      <c r="N29" s="13" t="n">
        <f aca="false">L29+K29</f>
        <v>16000</v>
      </c>
      <c r="O29" s="14" t="n">
        <f aca="false">6*L29+M29+5*N29</f>
        <v>192000</v>
      </c>
    </row>
    <row r="30" customFormat="false" ht="24.75" hidden="false" customHeight="true" outlineLevel="0" collapsed="false">
      <c r="C30" s="23" t="s">
        <v>55</v>
      </c>
      <c r="D30" s="23"/>
      <c r="E30" s="23"/>
      <c r="F30" s="23"/>
      <c r="G30" s="23"/>
      <c r="H30" s="24" t="n">
        <f aca="false">SUM(H21:H29)</f>
        <v>1368000</v>
      </c>
      <c r="I30" s="25" t="n">
        <f aca="false">SUM(I21:I29)</f>
        <v>100000</v>
      </c>
      <c r="J30" s="25" t="n">
        <f aca="false">SUM(J21:J29)</f>
        <v>76500</v>
      </c>
      <c r="K30" s="25" t="n">
        <f aca="false">SUM(K21:K29)</f>
        <v>2000</v>
      </c>
      <c r="L30" s="25" t="n">
        <f aca="false">SUM(L21:L29)</f>
        <v>122333.333333333</v>
      </c>
      <c r="M30" s="25" t="n">
        <f aca="false">SUM(M21:M29)</f>
        <v>200833.333333333</v>
      </c>
      <c r="N30" s="25" t="n">
        <f aca="false">SUM(N21:N29)</f>
        <v>124333.333333333</v>
      </c>
      <c r="O30" s="26" t="n">
        <f aca="false">SUM(O21:O29)</f>
        <v>1556500</v>
      </c>
    </row>
    <row r="33" customFormat="false" ht="21.75" hidden="false" customHeight="true" outlineLevel="0" collapsed="false">
      <c r="C33" s="5" t="s">
        <v>56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</row>
    <row r="34" customFormat="false" ht="49.5" hidden="false" customHeight="true" outlineLevel="0" collapsed="false">
      <c r="C34" s="27" t="s">
        <v>57</v>
      </c>
      <c r="D34" s="27"/>
      <c r="E34" s="27"/>
      <c r="F34" s="27"/>
      <c r="G34" s="27"/>
      <c r="H34" s="27"/>
      <c r="I34" s="27"/>
      <c r="J34" s="27"/>
      <c r="K34" s="27"/>
      <c r="L34" s="27"/>
      <c r="M34" s="27"/>
      <c r="N34" s="27"/>
      <c r="O34" s="27"/>
    </row>
    <row r="35" customFormat="false" ht="15" hidden="false" customHeight="false" outlineLevel="0" collapsed="false">
      <c r="C35" s="27"/>
      <c r="D35" s="27"/>
      <c r="E35" s="27"/>
      <c r="F35" s="27"/>
      <c r="G35" s="27"/>
      <c r="H35" s="27"/>
      <c r="I35" s="27"/>
      <c r="J35" s="27"/>
      <c r="K35" s="27"/>
      <c r="L35" s="27"/>
      <c r="M35" s="27"/>
      <c r="N35" s="27"/>
      <c r="O35" s="27"/>
    </row>
    <row r="36" customFormat="false" ht="15" hidden="false" customHeight="false" outlineLevel="0" collapsed="false">
      <c r="C36" s="27"/>
      <c r="D36" s="27"/>
      <c r="E36" s="27"/>
      <c r="F36" s="27"/>
      <c r="G36" s="27"/>
      <c r="H36" s="27"/>
      <c r="I36" s="27"/>
      <c r="J36" s="27"/>
      <c r="K36" s="27"/>
      <c r="L36" s="27"/>
      <c r="M36" s="27"/>
      <c r="N36" s="27"/>
      <c r="O36" s="27"/>
    </row>
  </sheetData>
  <mergeCells count="11">
    <mergeCell ref="C3:O3"/>
    <mergeCell ref="C5:O5"/>
    <mergeCell ref="C6:O6"/>
    <mergeCell ref="C8:O9"/>
    <mergeCell ref="C11:G11"/>
    <mergeCell ref="I11:O11"/>
    <mergeCell ref="I12:O15"/>
    <mergeCell ref="C18:O18"/>
    <mergeCell ref="C30:G30"/>
    <mergeCell ref="C33:O33"/>
    <mergeCell ref="C34:O36"/>
  </mergeCells>
  <conditionalFormatting sqref="O21:O29">
    <cfRule type="dataBar" priority="2">
      <dataBar showValue="1" minLength="10" maxLength="90">
        <cfvo type="min" val="0"/>
        <cfvo type="max" val="0"/>
        <color rgb="FF135B44"/>
      </dataBar>
      <extLst>
        <ext xmlns:x14="http://schemas.microsoft.com/office/spreadsheetml/2009/9/main" uri="{B025F937-C7B1-47D3-B67F-A62EFF666E3E}">
          <x14:id>{C311B750-6115-4446-B1AB-941B6082FCAF}</x14:id>
        </ext>
      </extLst>
    </cfRule>
  </conditionalFormatting>
  <printOptions headings="false" gridLines="false" gridLinesSet="true" horizontalCentered="false" verticalCentered="false"/>
  <pageMargins left="0.2" right="0.2" top="0.25" bottom="0.25" header="0.511811023622047" footer="0.5"/>
  <pageSetup paperSize="3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Manpower Cost Summary | Page &amp;P of &amp;N</oddFooter>
  </headerFooter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311B750-6115-4446-B1AB-941B6082FCAF}">
            <x14:dataBar minLength="10" maxLength="90" axisPosition="none" gradient="true">
              <x14:cfvo type="min"/>
              <x14:cfvo type="max"/>
              <x14:negativeFillColor rgb="FF135B44"/>
              <x14:axisColor rgb="FF000000"/>
            </x14:dataBar>
          </x14:cfRule>
          <xm:sqref>O21:O29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2026-09-08T19:33:33Z</dcterms:created>
  <dc:creator>openpyxl</dc:creator>
  <dc:description/>
  <dc:language>en-US</dc:language>
  <cp:lastModifiedBy/>
  <dcterms:modified xsi:type="dcterms:W3CDTF">2026-09-08T19:33:33Z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