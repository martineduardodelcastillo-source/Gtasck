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npower Cost Summary" sheetId="1" state="visible" r:id="rId3"/>
  </sheets>
  <definedNames>
    <definedName function="false" hidden="false" localSheetId="0" name="_xlnm.Print_Area" vbProcedure="false">'Manpower Cost Summary'!$B$2:$R$66</definedName>
    <definedName function="false" hidden="true" localSheetId="0" name="_xlnm._FilterDatabase" vbProcedure="false">'Manpower Cost Summary'!$C$51:$Q$60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8" authorId="0">
      <text>
        <r>
          <rPr>
            <sz val="10"/>
            <rFont val="Arial"/>
            <family val="2"/>
          </rPr>
          <t xml:space="preserve">Source: management instruction in this task through 7 September 2026. Tax, payroll, labor-law and residence treatment require legal and tax review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3" authorId="0">
      <text>
        <r>
          <rPr>
            <sz val="10"/>
            <rFont val="Arial"/>
            <family val="2"/>
          </rPr>
          <t xml:space="preserve">Source: management instruction in this task through 7 September 2026. One-time moving, settling-in, temporary lodging, transport and onboarding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4" authorId="0">
      <text>
        <r>
          <rPr>
            <sz val="10"/>
            <rFont val="Arial"/>
            <family val="2"/>
          </rPr>
          <t xml:space="preserve">Source: management instruction in this task through 7 September 2026. Minimum $2,000/month for future approved family relocation to Maracaibo unless management approves more.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C15" authorId="0">
      <text>
        <r>
          <rPr>
            <sz val="10"/>
            <rFont val="Arial"/>
            <family val="2"/>
          </rPr>
          <t xml:space="preserve">Source: management instruction in this task through 7 September 2026. Stated benefit only; no home leave cost is included in this model.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6" authorId="0">
      <text>
        <r>
          <rPr>
            <sz val="10"/>
            <rFont val="Arial"/>
            <family val="2"/>
          </rPr>
          <t xml:space="preserve">Source: management instruction in this task through 7 September 2026. 30 paid vacation days. Salary is assumed to cover this entitlement; no incremental cost is modeled.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7" authorId="0">
      <text>
        <r>
          <rPr>
            <sz val="10"/>
            <rFont val="Arial"/>
            <family val="2"/>
          </rPr>
          <t xml:space="preserve">Source: management instruction in this task through 7 September 2026. Known annual salary from prior secondments model; Martin benefits are not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8"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3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4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C64" authorId="0">
      <text>
        <r>
          <rPr>
            <sz val="10"/>
            <rFont val="Arial"/>
            <family val="2"/>
          </rPr>
          <t xml:space="preserve">Source: management instruction in this task through 7 September 2026. This management planning model is not a legal, tax, payroll or immigration determination.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65</xdr:rowOff>
              </xdr:to>
            </anchor>
          </commentPr>
        </mc:Choice>
        <mc:Fallback/>
      </mc:AlternateContent>
    </comment>
    <comment ref="D13" authorId="0">
      <text>
        <r>
          <rPr>
            <sz val="10"/>
            <rFont val="Arial"/>
            <family val="2"/>
          </rPr>
          <t xml:space="preserve">Source: management instruction in this task through 7 September 2026. One-time moving, settling-in, temporary lodging, transport and onboarding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4" authorId="0">
      <text>
        <r>
          <rPr>
            <sz val="10"/>
            <rFont val="Arial"/>
            <family val="2"/>
          </rPr>
          <t xml:space="preserve">Source: management instruction in this task through 7 September 2026. Minimum $2,000/month for future approved family relocation to Maracaibo unless management approves more.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D15" authorId="0">
      <text>
        <r>
          <rPr>
            <sz val="10"/>
            <rFont val="Arial"/>
            <family val="2"/>
          </rPr>
          <t xml:space="preserve">Source: management instruction in this task through 7 September 2026. Stated benefit only; no home leave cost is included in this model.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6" authorId="0">
      <text>
        <r>
          <rPr>
            <sz val="10"/>
            <rFont val="Arial"/>
            <family val="2"/>
          </rPr>
          <t xml:space="preserve">Source: management instruction in this task through 7 September 2026. 30 paid vacation days. Salary is assumed to cover this entitlement; no incremental cost is modeled.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7" authorId="0">
      <text>
        <r>
          <rPr>
            <sz val="10"/>
            <rFont val="Arial"/>
            <family val="2"/>
          </rPr>
          <t xml:space="preserve">Source: existing workbook modelo_paquetes_personal_2_etapas.xlsx, worksheet Secondments PU, reviewed 7 September 2026. Known annual salary from prior secondments model; Martin benefits are not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D38"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3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D4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13" authorId="0">
      <text>
        <r>
          <rPr>
            <sz val="10"/>
            <rFont val="Arial"/>
            <family val="2"/>
          </rPr>
          <t xml:space="preserve">Source: management instruction in this task through 7 September 2026. x monthly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4" authorId="0">
      <text>
        <r>
          <rPr>
            <sz val="10"/>
            <rFont val="Arial"/>
            <family val="2"/>
          </rPr>
          <t xml:space="preserve">Source: management instruction in this task through 7 September 2026. USD /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5" authorId="0">
      <text>
        <r>
          <rPr>
            <sz val="10"/>
            <rFont val="Arial"/>
            <family val="2"/>
          </rPr>
          <t xml:space="preserve">Source: management instruction in this task through 7 September 2026. Benefit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6" authorId="0">
      <text>
        <r>
          <rPr>
            <sz val="10"/>
            <rFont val="Arial"/>
            <family val="2"/>
          </rPr>
          <t xml:space="preserve">Source: management instruction in this task through 7 September 2026. Days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7" authorId="0">
      <text>
        <r>
          <rPr>
            <sz val="10"/>
            <rFont val="Arial"/>
            <family val="2"/>
          </rPr>
          <t xml:space="preserve">Source: management instruction in this task through 7 September 2026. USD / year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38"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3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4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4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4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4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4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E45" authorId="0">
      <text>
        <r>
          <rPr>
            <sz val="10"/>
            <rFont val="Arial"/>
            <family val="2"/>
          </rPr>
          <t xml:space="preserve">Source: management instruction in this task through 7 September 2026.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65</xdr:rowOff>
              </xdr:to>
            </anchor>
          </commentPr>
        </mc:Choice>
        <mc:Fallback/>
      </mc:AlternateContent>
    </comment>
    <comment ref="E46" authorId="0">
      <text>
        <r>
          <rPr>
            <sz val="10"/>
            <rFont val="Arial"/>
            <family val="2"/>
          </rPr>
          <t xml:space="preserve">Source: existing workbook modelo_paquetes_personal_2_etapas.xlsx, worksheet Secondments PU, reviewed 7 September 2026. PU-paid salary known from prior secondments model; health, housing, home leave and other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10</xdr:row>
                <xdr:rowOff>19</xdr:rowOff>
              </xdr:to>
            </anchor>
          </commentPr>
        </mc:Choice>
        <mc:Fallback/>
      </mc:AlternateContent>
    </comment>
    <comment ref="F13" authorId="0">
      <text>
        <r>
          <rPr>
            <sz val="10"/>
            <rFont val="Arial"/>
            <family val="2"/>
          </rPr>
          <t xml:space="preserve">Source: management instruction in this task through 7 September 2026. M7 — Juan, Alexander and Félix</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4" authorId="0">
      <text>
        <r>
          <rPr>
            <sz val="10"/>
            <rFont val="Arial"/>
            <family val="2"/>
          </rPr>
          <t xml:space="preserve">Source: management instruction in this task through 7 September 2026. M7–M12 — family relocation to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5" authorId="0">
      <text>
        <r>
          <rPr>
            <sz val="10"/>
            <rFont val="Arial"/>
            <family val="2"/>
          </rPr>
          <t xml:space="preserve">Source: management instruction in this task through 7 September 2026.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6" authorId="0">
      <text>
        <r>
          <rPr>
            <sz val="10"/>
            <rFont val="Arial"/>
            <family val="2"/>
          </rPr>
          <t xml:space="preserve">Source: management instruction in this task through 7 September 2026. All local roles; M7+ for repatriates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7" authorId="0">
      <text>
        <r>
          <rPr>
            <sz val="10"/>
            <rFont val="Arial"/>
            <family val="2"/>
          </rPr>
          <t xml:space="preserve">Source: management instruction in this task through 7 September 2026. PU-paid secondment M1–M12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38"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39"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0"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1" authorId="0">
      <text>
        <r>
          <rPr>
            <sz val="10"/>
            <rFont val="Arial"/>
            <family val="2"/>
          </rPr>
          <t xml:space="preserve">Source: management instruction in this task through 7 September 2026. M1–M6 contract: Expat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2" authorId="0">
      <text>
        <r>
          <rPr>
            <sz val="10"/>
            <rFont val="Arial"/>
            <family val="2"/>
          </rPr>
          <t xml:space="preserve">Source: management instruction in this task through 7 September 2026. M1–M6 contract: Local</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3" authorId="0">
      <text>
        <r>
          <rPr>
            <sz val="10"/>
            <rFont val="Arial"/>
            <family val="2"/>
          </rPr>
          <t xml:space="preserve">Source: management instruction in this task through 7 September 2026. M1–M6 contract: Expat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4" authorId="0">
      <text>
        <r>
          <rPr>
            <sz val="10"/>
            <rFont val="Arial"/>
            <family val="2"/>
          </rPr>
          <t xml:space="preserve">Source: management instruction in this task through 7 September 2026. M1–M6 contract: Local</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5" authorId="0">
      <text>
        <r>
          <rPr>
            <sz val="10"/>
            <rFont val="Arial"/>
            <family val="2"/>
          </rPr>
          <t xml:space="preserve">Source: management instruction in this task through 7 September 2026. M1–M6 contract: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F46" authorId="0">
      <text>
        <r>
          <rPr>
            <sz val="10"/>
            <rFont val="Arial"/>
            <family val="2"/>
          </rPr>
          <t xml:space="preserve">Source: management instruction in this task through 7 September 2026. M1–M6 contract: PU Secondment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G13" authorId="0">
      <text>
        <r>
          <rPr>
            <sz val="10"/>
            <rFont val="Arial"/>
            <family val="2"/>
          </rPr>
          <t xml:space="preserve">Source: management instruction in this task through 7 September 2026. One-time moving, settling-in, temporary lodging, transport and onboarding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4" authorId="0">
      <text>
        <r>
          <rPr>
            <sz val="10"/>
            <rFont val="Arial"/>
            <family val="2"/>
          </rPr>
          <t xml:space="preserve">Source: management instruction in this task through 7 September 2026. Minimum $2,000/month for future approved family relocation to Maracaibo unless management approves more.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5" authorId="0">
      <text>
        <r>
          <rPr>
            <sz val="10"/>
            <rFont val="Arial"/>
            <family val="2"/>
          </rPr>
          <t xml:space="preserve">Source: management instruction in this task through 7 September 2026. Stated benefit only; no home leave cost is included in this model.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6" authorId="0">
      <text>
        <r>
          <rPr>
            <sz val="10"/>
            <rFont val="Arial"/>
            <family val="2"/>
          </rPr>
          <t xml:space="preserve">Source: management instruction in this task through 7 September 2026. 30 paid vacation days. Salary is assumed to cover this entitlement; no incremental cost is modeled.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7" authorId="0">
      <text>
        <r>
          <rPr>
            <sz val="10"/>
            <rFont val="Arial"/>
            <family val="2"/>
          </rPr>
          <t xml:space="preserve">Source: management instruction in this task through 7 September 2026. Known annual salary from prior secondments model; Martin benefits are not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38"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39"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40"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41" authorId="0">
      <text>
        <r>
          <rPr>
            <sz val="10"/>
            <rFont val="Arial"/>
            <family val="2"/>
          </rPr>
          <t xml:space="preserve">Source: management instruction in this task through 7 September 2026. M7+ basis: Expat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42"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43" authorId="0">
      <text>
        <r>
          <rPr>
            <sz val="10"/>
            <rFont val="Arial"/>
            <family val="2"/>
          </rPr>
          <t xml:space="preserve">Source: management instruction in this task through 7 September 2026. M7+ basis: Expat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44"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G45" authorId="0">
      <text>
        <r>
          <rPr>
            <sz val="10"/>
            <rFont val="Arial"/>
            <family val="2"/>
          </rPr>
          <t xml:space="preserve">Source: management instruction in this task through 7 September 2026. M7+ basis: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xdr:rowOff>
              </xdr:to>
            </anchor>
          </commentPr>
        </mc:Choice>
        <mc:Fallback/>
      </mc:AlternateContent>
    </comment>
    <comment ref="G46" authorId="0">
      <text>
        <r>
          <rPr>
            <sz val="10"/>
            <rFont val="Arial"/>
            <family val="2"/>
          </rPr>
          <t xml:space="preserve">Source: management instruction in this task through 7 September 2026. M7+ basis: PU Secondment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38"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39"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40"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41"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42" authorId="0">
      <text>
        <r>
          <rPr>
            <sz val="10"/>
            <rFont val="Arial"/>
            <family val="2"/>
          </rPr>
          <t xml:space="preserve">Source: management instruction in this task through 7 September 2026. Work arrangement: Fixed / Remote</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20</xdr:rowOff>
              </xdr:to>
            </anchor>
          </commentPr>
        </mc:Choice>
        <mc:Fallback/>
      </mc:AlternateContent>
    </comment>
    <comment ref="H43" authorId="0">
      <text>
        <r>
          <rPr>
            <sz val="10"/>
            <rFont val="Arial"/>
            <family val="2"/>
          </rPr>
          <t xml:space="preserve">Source: management instruction in this task through 7 September 2026. Work arrangement: Rotation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44"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45" authorId="0">
      <text>
        <r>
          <rPr>
            <sz val="10"/>
            <rFont val="Arial"/>
            <family val="2"/>
          </rPr>
          <t xml:space="preserve">Source: management instruction in this task through 7 September 2026. Work arrangement: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H46"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xdr:rowOff>
              </xdr:to>
            </anchor>
          </commentPr>
        </mc:Choice>
        <mc:Fallback/>
      </mc:AlternateContent>
    </comment>
    <comment ref="I38" authorId="0">
      <text>
        <r>
          <rPr>
            <sz val="10"/>
            <rFont val="Arial"/>
            <family val="2"/>
          </rPr>
          <t xml:space="preserve">Source: management instruction in this task through 7 September 2026. Status: GREEN — Confirmed.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I39" authorId="0">
      <text>
        <r>
          <rPr>
            <sz val="10"/>
            <rFont val="Arial"/>
            <family val="2"/>
          </rPr>
          <t xml:space="preserve">Source: management instruction in this task through 7 September 2026. Status: GREEN — Confirmed.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65</xdr:rowOff>
              </xdr:to>
            </anchor>
          </commentPr>
        </mc:Choice>
        <mc:Fallback/>
      </mc:AlternateContent>
    </comment>
    <comment ref="I40" authorId="0">
      <text>
        <r>
          <rPr>
            <sz val="10"/>
            <rFont val="Arial"/>
            <family val="2"/>
          </rPr>
          <t xml:space="preserve">Source: management instruction in this task through 7 September 2026. Status: GREEN — Confirmed.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I41" authorId="0">
      <text>
        <r>
          <rPr>
            <sz val="10"/>
            <rFont val="Arial"/>
            <family val="2"/>
          </rPr>
          <t xml:space="preserve">Source: management instruction in this task through 7 September 2026. Status: GREEN — Confirmed. Initial PU secondee. Approved family relocation to Maracaibo;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10</xdr:row>
                <xdr:rowOff>4</xdr:rowOff>
              </xdr:to>
            </anchor>
          </commentPr>
        </mc:Choice>
        <mc:Fallback/>
      </mc:AlternateContent>
    </comment>
    <comment ref="I42" authorId="0">
      <text>
        <r>
          <rPr>
            <sz val="10"/>
            <rFont val="Arial"/>
            <family val="2"/>
          </rPr>
          <t xml:space="preserve">Source: management instruction in this task through 7 September 2026. Status: AMBER — Assumption.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8</xdr:row>
                <xdr:rowOff>14</xdr:rowOff>
              </xdr:to>
            </anchor>
          </commentPr>
        </mc:Choice>
        <mc:Fallback/>
      </mc:AlternateContent>
    </comment>
    <comment ref="I43" authorId="0">
      <text>
        <r>
          <rPr>
            <sz val="10"/>
            <rFont val="Arial"/>
            <family val="2"/>
          </rPr>
          <t xml:space="preserve">Source: management instruction in this task through 7 September 2026. Status: AMBER — Assumption.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8</xdr:row>
                <xdr:rowOff>14</xdr:rowOff>
              </xdr:to>
            </anchor>
          </commentPr>
        </mc:Choice>
        <mc:Fallback/>
      </mc:AlternateContent>
    </comment>
    <comment ref="I44" authorId="0">
      <text>
        <r>
          <rPr>
            <sz val="10"/>
            <rFont val="Arial"/>
            <family val="2"/>
          </rPr>
          <t xml:space="preserve">Source: management instruction in this task through 7 September 2026. Status: GREEN — Confirmed.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I45" authorId="0">
      <text>
        <r>
          <rPr>
            <sz val="10"/>
            <rFont val="Arial"/>
            <family val="2"/>
          </rPr>
          <t xml:space="preserve">Source: management instruction in this task through 7 September 2026. Status: RED — TBD.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65</xdr:rowOff>
              </xdr:to>
            </anchor>
          </commentPr>
        </mc:Choice>
        <mc:Fallback/>
      </mc:AlternateContent>
    </comment>
    <comment ref="I46" authorId="0">
      <text>
        <r>
          <rPr>
            <sz val="10"/>
            <rFont val="Arial"/>
            <family val="2"/>
          </rPr>
          <t xml:space="preserve">Source: management instruction in this task through 7 September 2026. Status: AMBER — Benefits TBD. PU-paid salary known from prior secondments model; health, housing, home leave and other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J38" authorId="0">
      <text>
        <r>
          <rPr>
            <sz val="10"/>
            <rFont val="Arial"/>
            <family val="2"/>
          </rPr>
          <t xml:space="preserve">Source: compensation table image pasted_file_yfFQ2v_image.png, provided 7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10</xdr:row>
                <xdr:rowOff>4</xdr:rowOff>
              </xdr:to>
            </anchor>
          </commentPr>
        </mc:Choice>
        <mc:Fallback/>
      </mc:AlternateContent>
    </comment>
    <comment ref="J39" authorId="0">
      <text>
        <r>
          <rPr>
            <sz val="10"/>
            <rFont val="Arial"/>
            <family val="2"/>
          </rPr>
          <t xml:space="preserve">Source: compensation table image pasted_file_yfFQ2v_image.png, provided 7 September 2026; field: Base Salary (Annual).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J40" authorId="0">
      <text>
        <r>
          <rPr>
            <sz val="10"/>
            <rFont val="Arial"/>
            <family val="2"/>
          </rPr>
          <t xml:space="preserve">Source: compensation table image pasted_file_yfFQ2v_image.png, provided 7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10</xdr:row>
                <xdr:rowOff>4</xdr:rowOff>
              </xdr:to>
            </anchor>
          </commentPr>
        </mc:Choice>
        <mc:Fallback/>
      </mc:AlternateContent>
    </comment>
    <comment ref="J41" authorId="0">
      <text>
        <r>
          <rPr>
            <sz val="10"/>
            <rFont val="Arial"/>
            <family val="2"/>
          </rPr>
          <t xml:space="preserve">Source: compensation table image pasted_file_yfFQ2v_image.png, provided 7 September 2026; field: Base Salary (Annual). Initial PU secondee. Approved family relocation to Maracaibo;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10</xdr:row>
                <xdr:rowOff>19</xdr:rowOff>
              </xdr:to>
            </anchor>
          </commentPr>
        </mc:Choice>
        <mc:Fallback/>
      </mc:AlternateContent>
    </comment>
    <comment ref="J42" authorId="0">
      <text>
        <r>
          <rPr>
            <sz val="10"/>
            <rFont val="Arial"/>
            <family val="2"/>
          </rPr>
          <t xml:space="preserve">Source: compensation table image pasted_file_yfFQ2v_image.png, provided 7 September 2026; field: Base Salary (Annual).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J43" authorId="0">
      <text>
        <r>
          <rPr>
            <sz val="10"/>
            <rFont val="Arial"/>
            <family val="2"/>
          </rPr>
          <t xml:space="preserve">Source: compensation table image pasted_file_yfFQ2v_image.png, provided 7 September 2026; field: Base Salary (Annual).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J44" authorId="0">
      <text>
        <r>
          <rPr>
            <sz val="10"/>
            <rFont val="Arial"/>
            <family val="2"/>
          </rPr>
          <t xml:space="preserve">Source: compensation table image pasted_file_yfFQ2v_image.png, provided 7 September 2026; field: Base Salary (Annual).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8</xdr:row>
                <xdr:rowOff>14</xdr:rowOff>
              </xdr:to>
            </anchor>
          </commentPr>
        </mc:Choice>
        <mc:Fallback/>
      </mc:AlternateContent>
    </comment>
    <comment ref="J45" authorId="0">
      <text>
        <r>
          <rPr>
            <sz val="10"/>
            <rFont val="Arial"/>
            <family val="2"/>
          </rPr>
          <t xml:space="preserve">Source: compensation table image pasted_file_yfFQ2v_image.png, provided 7 September 2026; field: Base Salary (Annual).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9</xdr:row>
                <xdr:rowOff>9</xdr:rowOff>
              </xdr:to>
            </anchor>
          </commentPr>
        </mc:Choice>
        <mc:Fallback/>
      </mc:AlternateContent>
    </comment>
    <comment ref="L38"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39"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0"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1"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2"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3"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4"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5"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L46"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Q38"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39"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0"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1"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2"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3"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4"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5"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Q46"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R38" authorId="0">
      <text>
        <r>
          <rPr>
            <sz val="10"/>
            <rFont val="Arial"/>
            <family val="2"/>
          </rPr>
          <t xml:space="preserve">Source: management instruction in this task through 7 September 2026.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8</xdr:row>
                <xdr:rowOff>14</xdr:rowOff>
              </xdr:to>
            </anchor>
          </commentPr>
        </mc:Choice>
        <mc:Fallback/>
      </mc:AlternateContent>
    </comment>
    <comment ref="R39" authorId="0">
      <text>
        <r>
          <rPr>
            <sz val="10"/>
            <rFont val="Arial"/>
            <family val="2"/>
          </rPr>
          <t xml:space="preserve">Source: management instruction in this task through 7 September 2026.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R40" authorId="0">
      <text>
        <r>
          <rPr>
            <sz val="10"/>
            <rFont val="Arial"/>
            <family val="2"/>
          </rPr>
          <t xml:space="preserve">Source: management instruction in this task through 7 September 2026.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8</xdr:row>
                <xdr:rowOff>14</xdr:rowOff>
              </xdr:to>
            </anchor>
          </commentPr>
        </mc:Choice>
        <mc:Fallback/>
      </mc:AlternateContent>
    </comment>
    <comment ref="R41" authorId="0">
      <text>
        <r>
          <rPr>
            <sz val="10"/>
            <rFont val="Arial"/>
            <family val="2"/>
          </rPr>
          <t xml:space="preserve">Source: management instruction in this task through 7 September 2026. Initial PU secondee. Approved family relocation to Maracaibo;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8</xdr:row>
                <xdr:rowOff>14</xdr:rowOff>
              </xdr:to>
            </anchor>
          </commentPr>
        </mc:Choice>
        <mc:Fallback/>
      </mc:AlternateContent>
    </comment>
    <comment ref="R42" authorId="0">
      <text>
        <r>
          <rPr>
            <sz val="10"/>
            <rFont val="Arial"/>
            <family val="2"/>
          </rPr>
          <t xml:space="preserve">Source: management instruction in this task through 7 September 2026.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R43" authorId="0">
      <text>
        <r>
          <rPr>
            <sz val="10"/>
            <rFont val="Arial"/>
            <family val="2"/>
          </rPr>
          <t xml:space="preserve">Source: management instruction in this task through 7 September 2026.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50</xdr:rowOff>
              </xdr:to>
            </anchor>
          </commentPr>
        </mc:Choice>
        <mc:Fallback/>
      </mc:AlternateContent>
    </comment>
    <comment ref="R44" authorId="0">
      <text>
        <r>
          <rPr>
            <sz val="10"/>
            <rFont val="Arial"/>
            <family val="2"/>
          </rPr>
          <t xml:space="preserve">Source: management instruction in this task through 7 September 2026.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35</xdr:rowOff>
              </xdr:to>
            </anchor>
          </commentPr>
        </mc:Choice>
        <mc:Fallback/>
      </mc:AlternateContent>
    </comment>
    <comment ref="R45" authorId="0">
      <text>
        <r>
          <rPr>
            <sz val="10"/>
            <rFont val="Arial"/>
            <family val="2"/>
          </rPr>
          <t xml:space="preserve">Source: management instruction in this task through 7 September 2026.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65</xdr:rowOff>
              </xdr:to>
            </anchor>
          </commentPr>
        </mc:Choice>
        <mc:Fallback/>
      </mc:AlternateContent>
    </comment>
    <comment ref="R46" authorId="0">
      <text>
        <r>
          <rPr>
            <sz val="10"/>
            <rFont val="Arial"/>
            <family val="2"/>
          </rPr>
          <t xml:space="preserve">Source: management instruction in this task through 7 September 2026. PU-paid salary known from prior secondments model; health, housing, home leave and other benefits remain TBD.</t>
        </r>
      </text>
      <mc:AlternateContent>
        <mc:Choice Requires="v2">
          <commentPr autoFill="true" autoScale="false" colHidden="false" locked="false" rowHidden="false" textHAlign="justify" textVAlign="top">
            <anchor moveWithCells="false" sizeWithCells="false">
              <xdr:from>
                <xdr:col>0</xdr:col>
                <xdr:colOff>79</xdr:colOff>
                <xdr:row>3</xdr:row>
                <xdr:rowOff>3</xdr:rowOff>
              </xdr:from>
              <xdr:to>
                <xdr:col>1</xdr:col>
                <xdr:colOff>55</xdr:colOff>
                <xdr:row>7</xdr:row>
                <xdr:rowOff>65</xdr:rowOff>
              </xdr:to>
            </anchor>
          </commentPr>
        </mc:Choice>
        <mc:Fallback/>
      </mc:AlternateContent>
    </comment>
  </commentList>
</comments>
</file>

<file path=xl/sharedStrings.xml><?xml version="1.0" encoding="utf-8"?>
<sst xmlns="http://schemas.openxmlformats.org/spreadsheetml/2006/main" count="176" uniqueCount="127">
  <si>
    <t xml:space="preserve">Petrourdaneta — Manpower Cost Summary, PU Allocation and Contract Packages</t>
  </si>
  <si>
    <t xml:space="preserve">Single-sheet executive model | Monthly and annual manpower cost | COO excluded and treated separately | USD</t>
  </si>
  <si>
    <t xml:space="preserve">Blue = hardcoded input | Black = formula | Traffic-light status distinguishes confirmed, assumption and TBD records</t>
  </si>
  <si>
    <t xml:space="preserve">BIG NOTE — Alexander Stulme (PU General Manager), Alan McKeon (PU Technical Manager) and Martin Aguero (PU Infra Manager) are initially seconded to Petrourdaneta. PU pays their costs. The model includes all manpower in gross cost and then deducts PU-paid secondees to calculate net manpower cost. Martin Aguero's $180,000 annual salary is included; his benefits remain TBD. Planning tax assumption: repatriates becoming local pay individual income tax in their country of origin; no company tax gross-up or double-taxation cost is modeled. Expat tax support is excluded unless separately approved.</t>
  </si>
  <si>
    <t xml:space="preserve">EDITABLE ASSUMPTIONS AND POLICY INPUTS</t>
  </si>
  <si>
    <t xml:space="preserve">Input</t>
  </si>
  <si>
    <t xml:space="preserve">Value</t>
  </si>
  <si>
    <t xml:space="preserve">Unit</t>
  </si>
  <si>
    <t xml:space="preserve">Application</t>
  </si>
  <si>
    <t xml:space="preserve">Source / Policy Note</t>
  </si>
  <si>
    <t xml:space="preserve">Repatriation package multiple</t>
  </si>
  <si>
    <t xml:space="preserve">x monthly salary</t>
  </si>
  <si>
    <t xml:space="preserve">M7 — Juan, Alexander and Félix</t>
  </si>
  <si>
    <t xml:space="preserve">One-time moving, settling-in, temporary lodging, transport and onboarding package.</t>
  </si>
  <si>
    <t xml:space="preserve">Alan housing allowance</t>
  </si>
  <si>
    <t xml:space="preserve">USD / month</t>
  </si>
  <si>
    <t xml:space="preserve">M7–M12 — family relocation to Maracaibo</t>
  </si>
  <si>
    <t xml:space="preserve">Minimum $2,000/month for future approved family relocation to Maracaibo unless management approves more.</t>
  </si>
  <si>
    <t xml:space="preserve">Alan home leave</t>
  </si>
  <si>
    <t xml:space="preserve">Home leave</t>
  </si>
  <si>
    <t xml:space="preserve">Benefit</t>
  </si>
  <si>
    <t xml:space="preserve">M7+</t>
  </si>
  <si>
    <t xml:space="preserve">Stated benefit only; no home leave cost is included in this model.</t>
  </si>
  <si>
    <t xml:space="preserve">Local paid vacation</t>
  </si>
  <si>
    <t xml:space="preserve">Days</t>
  </si>
  <si>
    <t xml:space="preserve">All local roles; M7+ for repatriates</t>
  </si>
  <si>
    <t xml:space="preserve">30 paid vacation days. Salary is assumed to cover this entitlement; no incremental cost is modeled.</t>
  </si>
  <si>
    <t xml:space="preserve">Martin Aguero annual salary</t>
  </si>
  <si>
    <t xml:space="preserve">USD / year</t>
  </si>
  <si>
    <t xml:space="preserve">PU-paid secondment M1–M12</t>
  </si>
  <si>
    <t xml:space="preserve">Known annual salary from prior secondments model; Martin benefits are not included.</t>
  </si>
  <si>
    <t xml:space="preserve">EXECUTIVE MANPOWER COST OVERVIEW — GROSS, PU-PAID AND NET</t>
  </si>
  <si>
    <t xml:space="preserve">Metric</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</si>
  <si>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</si>
  <si>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</si>
  <si>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</si>
  <si>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</si>
  <si>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</si>
  <si>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</si>
  <si>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</si>
  <si>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</si>
  <si>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</si>
  <si>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</si>
  <si>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</si>
  <si>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</si>
  <si>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Year 1</t>
  </si>
  <si>
    <t xml:space="preserve">Gross manpower cost before PU allocation</t>
  </si>
  <si>
    <t xml:space="preserve">Less: PU-paid secondees</t>
  </si>
  <si>
    <t xml:space="preserve">NET manpower cost after PU allocation</t>
  </si>
  <si>
    <t xml:space="preserve">KEY OUTPUTS</t>
  </si>
  <si>
    <t xml:space="preserve">KPI</t>
  </si>
  <si>
    <t xml:space="preserve">Amount</t>
  </si>
  <si>
    <t xml:space="preserve">Meaning</t>
  </si>
  <si>
    <t xml:space="preserve">M1–M6 net monthly manpower cost</t>
  </si>
  <si>
    <t xml:space="preserve">Cost after PU-paid secondments.</t>
  </si>
  <si>
    <t xml:space="preserve">M7 net manpower cost</t>
  </si>
  <si>
    <t xml:space="preserve">Includes repatriation package and Alan's M7 housing.</t>
  </si>
  <si>
    <t xml:space="preserve">M8–M12 net monthly manpower cost</t>
  </si>
  <si>
    <t xml:space="preserve">Salary, health care and Alan's housing; home leave is stated but not costed.</t>
  </si>
  <si>
    <t xml:space="preserve">Gross Year 1 manpower cost</t>
  </si>
  <si>
    <t xml:space="preserve">Includes all modeled manpower, including Martin's known salary.</t>
  </si>
  <si>
    <t xml:space="preserve">PU-paid secondments</t>
  </si>
  <si>
    <t xml:space="preserve">Alexander and Alan's modeled cost plus Martin's salary.</t>
  </si>
  <si>
    <t xml:space="preserve">Net Year 1 manpower cost</t>
  </si>
  <si>
    <t xml:space="preserve">Overall Year 1 manpower cost after the PU allocation.</t>
  </si>
  <si>
    <t xml:space="preserve">PERSONNEL, CONTRACTS AND BENEFITS</t>
  </si>
  <si>
    <t xml:space="preserve">#</t>
  </si>
  <si>
    <t xml:space="preserve">Position</t>
  </si>
  <si>
    <t xml:space="preserve">Person</t>
  </si>
  <si>
    <t xml:space="preserve">M1–M6 Contract</t>
  </si>
  <si>
    <t xml:space="preserve">M7+ Basis</t>
  </si>
  <si>
    <t xml:space="preserve">Work Arrangement</t>
  </si>
  <si>
    <t xml:space="preserve">Traffic-Light Status</t>
  </si>
  <si>
    <t xml:space="preserve">Annual Base Salary</t>
  </si>
  <si>
    <t xml:space="preserve">Monthly Salary</t>
  </si>
  <si>
    <t xml:space="preserve">Health Care / Year</t>
  </si>
  <si>
    <t xml:space="preserve">M7 One-Time Package</t>
  </si>
  <si>
    <t xml:space="preserve">Housing / Month</t>
  </si>
  <si>
    <t xml:space="preserve">Home Leave</t>
  </si>
  <si>
    <t xml:space="preserve">Local Paid Vacation / Days</t>
  </si>
  <si>
    <t xml:space="preserve">PU-Paid?</t>
  </si>
  <si>
    <t xml:space="preserve">PU Appointment / Scope</t>
  </si>
  <si>
    <t xml:space="preserve">EPCM &amp; Engineering Manager</t>
  </si>
  <si>
    <t xml:space="preserve">Juan Conde</t>
  </si>
  <si>
    <t xml:space="preserve">Repatriate</t>
  </si>
  <si>
    <t xml:space="preserve">Local — Venezuela</t>
  </si>
  <si>
    <t xml:space="preserve">Fixed</t>
  </si>
  <si>
    <t xml:space="preserve">GREEN — Confirmed</t>
  </si>
  <si>
    <t xml:space="preserve">No</t>
  </si>
  <si>
    <t xml:space="preserve">—</t>
  </si>
  <si>
    <t xml:space="preserve">Drilling &amp; Well Services Manager</t>
  </si>
  <si>
    <t xml:space="preserve">Alexander Stulme</t>
  </si>
  <si>
    <t xml:space="preserve">Yes</t>
  </si>
  <si>
    <t xml:space="preserve">PU General Manager</t>
  </si>
  <si>
    <t xml:space="preserve">Operations &amp; Maintenance Manager</t>
  </si>
  <si>
    <t xml:space="preserve">Félix Valderrama</t>
  </si>
  <si>
    <t xml:space="preserve">Technical Manager (Geosciences)</t>
  </si>
  <si>
    <t xml:space="preserve">Alan McKeon</t>
  </si>
  <si>
    <t xml:space="preserve">Expat</t>
  </si>
  <si>
    <t xml:space="preserve">PU Technical Manager</t>
  </si>
  <si>
    <t xml:space="preserve">Reservoir Engineer</t>
  </si>
  <si>
    <t xml:space="preserve">JJI</t>
  </si>
  <si>
    <t xml:space="preserve">Local</t>
  </si>
  <si>
    <t xml:space="preserve">Fixed / Remote</t>
  </si>
  <si>
    <t xml:space="preserve">AMBER — Assumption</t>
  </si>
  <si>
    <t xml:space="preserve">Rig Company Man</t>
  </si>
  <si>
    <t xml:space="preserve">Marcelo Dantas</t>
  </si>
  <si>
    <t xml:space="preserve">Rotation</t>
  </si>
  <si>
    <t xml:space="preserve">Planning &amp; PMO</t>
  </si>
  <si>
    <t xml:space="preserve">Jose Miguel</t>
  </si>
  <si>
    <t xml:space="preserve">Operations Support</t>
  </si>
  <si>
    <t xml:space="preserve">TBD — Person to be defined</t>
  </si>
  <si>
    <t xml:space="preserve">TBD</t>
  </si>
  <si>
    <t xml:space="preserve">RED — TBD</t>
  </si>
  <si>
    <t xml:space="preserve">Infrastructure Manager</t>
  </si>
  <si>
    <t xml:space="preserve">Martin Aguero</t>
  </si>
  <si>
    <t xml:space="preserve">PU Secondment</t>
  </si>
  <si>
    <t xml:space="preserve">AMBER — Benefits TBD</t>
  </si>
  <si>
    <t xml:space="preserve">PU Infra Manager</t>
  </si>
  <si>
    <t xml:space="preserve">TOTAL GROSS BASE, HEALTH AND M7 BENEFIT INPUTS</t>
  </si>
  <si>
    <t xml:space="preserve">Home leave stated; no cost</t>
  </si>
  <si>
    <t xml:space="preserve">PU allocation shown above</t>
  </si>
  <si>
    <t xml:space="preserve">Use monthly table below for total gross and net manpower costs</t>
  </si>
  <si>
    <t xml:space="preserve">MONTHLY MANPOWER COST BY PERSON — COSTS INCLUDE SALARY, HEALTH AND APPROVED BENEFITS</t>
  </si>
  <si>
    <t xml:space="preserve">Year 1 Cost</t>
  </si>
  <si>
    <t xml:space="preserve">TOTAL GROSS MANPOWER COST</t>
  </si>
  <si>
    <t xml:space="preserve">Cost scope and policy: health care applies to everyone. M1–M6 includes salary plus health care. Repatriates receive the one-time M7 transition package and are then local. Alan remains an expat and receives $2,000/month housing in Maracaibo from M7. Home leave is stated as a benefit but no cost is included. All local employees, including repatriates after M7, receive 30 paid vacation days; salary is assumed to cover this entitlement. Housing, social charges, statutory benefits, transport and tax costs outside the stated assumptions require separate approval and specialist review.</t>
  </si>
</sst>
</file>

<file path=xl/styles.xml><?xml version="1.0" encoding="utf-8"?>
<styleSheet xmlns="http://schemas.openxmlformats.org/spreadsheetml/2006/main">
  <numFmts count="6">
    <numFmt numFmtId="164" formatCode="General"/>
    <numFmt numFmtId="165" formatCode="0.00\x"/>
    <numFmt numFmtId="166" formatCode="#,##0.0;[RED]&quot;($&quot;#,##0.0\);\-"/>
    <numFmt numFmtId="167" formatCode="#,##0"/>
    <numFmt numFmtId="168" formatCode="\$#,##0.0;[RED]&quot;($&quot;#,##0.0\);\-"/>
    <numFmt numFmtId="169" formatCode="General"/>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C00000"/>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s>
  <fills count="7">
    <fill>
      <patternFill patternType="none"/>
    </fill>
    <fill>
      <patternFill patternType="gray125"/>
    </fill>
    <fill>
      <patternFill patternType="solid">
        <fgColor rgb="FF135B44"/>
        <bgColor rgb="FF333333"/>
      </patternFill>
    </fill>
    <fill>
      <patternFill patternType="solid">
        <fgColor rgb="FFCFE9E0"/>
        <bgColor rgb="FFE8F5E9"/>
      </patternFill>
    </fill>
    <fill>
      <patternFill patternType="solid">
        <fgColor rgb="FFFFF3E0"/>
        <bgColor rgb="FFE8F5E9"/>
      </patternFill>
    </fill>
    <fill>
      <patternFill patternType="solid">
        <fgColor rgb="FFE8F5E9"/>
        <bgColor rgb="FFFFF3E0"/>
      </patternFill>
    </fill>
    <fill>
      <patternFill patternType="solid">
        <fgColor rgb="FFFFCCBC"/>
        <bgColor rgb="FFFFF3E0"/>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8" fillId="3" borderId="3"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5" fontId="9" fillId="0" borderId="2" xfId="0" applyFont="true" applyBorder="true" applyAlignment="true" applyProtection="false">
      <alignment horizontal="righ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true" indent="0" shrinkToFit="false"/>
      <protection locked="true" hidden="false"/>
    </xf>
    <xf numFmtId="167" fontId="9" fillId="0" borderId="2"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2" xfId="0" applyFont="true" applyBorder="true" applyAlignment="true" applyProtection="false">
      <alignment horizontal="right" vertical="center" textRotation="0" wrapText="fals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6" fontId="10" fillId="0" borderId="3" xfId="0" applyFont="true" applyBorder="true" applyAlignment="true" applyProtection="false">
      <alignment horizontal="right" vertical="center" textRotation="0" wrapText="false" indent="0" shrinkToFit="false"/>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6" fontId="10" fillId="0" borderId="4" xfId="0" applyFont="true" applyBorder="true" applyAlignment="true" applyProtection="false">
      <alignment horizontal="right"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9" fillId="5" borderId="2" xfId="0" applyFont="true" applyBorder="true" applyAlignment="true" applyProtection="false">
      <alignment horizontal="left" vertical="center" textRotation="0" wrapText="true" indent="0" shrinkToFit="false"/>
      <protection locked="true" hidden="false"/>
    </xf>
    <xf numFmtId="168"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9" fontId="10" fillId="0" borderId="2" xfId="0" applyFont="true" applyBorder="true" applyAlignment="true" applyProtection="false">
      <alignment horizontal="left" vertical="center" textRotation="0" wrapText="true" indent="0" shrinkToFit="false"/>
      <protection locked="true" hidden="false"/>
    </xf>
    <xf numFmtId="167" fontId="10"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left" vertical="center" textRotation="0" wrapText="true" indent="0" shrinkToFit="false"/>
      <protection locked="true" hidden="false"/>
    </xf>
    <xf numFmtId="164" fontId="9" fillId="6" borderId="2" xfId="0" applyFont="true" applyBorder="true" applyAlignment="true" applyProtection="false">
      <alignment horizontal="left" vertical="center" textRotation="0" wrapText="true" indent="0" shrinkToFit="false"/>
      <protection locked="true" hidden="false"/>
    </xf>
    <xf numFmtId="167" fontId="10" fillId="0" borderId="2"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68" fontId="10" fillId="0" borderId="3" xfId="0" applyFont="true" applyBorder="true" applyAlignment="false" applyProtection="false">
      <alignment horizontal="general" vertical="bottom" textRotation="0" wrapText="false" indent="0" shrinkToFit="false"/>
      <protection locked="true" hidden="false"/>
    </xf>
    <xf numFmtId="166" fontId="10" fillId="0"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CFE9E0"/>
          <bgColor rgb="FF000000"/>
        </patternFill>
      </fill>
    </dxf>
    <dxf>
      <fill>
        <patternFill patternType="solid">
          <bgColor rgb="FF000000"/>
        </patternFill>
      </fill>
    </dxf>
    <dxf>
      <fill>
        <patternFill patternType="solid">
          <fgColor rgb="FF000000"/>
          <bgColor rgb="FF000000"/>
        </patternFill>
      </fill>
    </dxf>
    <dxf>
      <fill>
        <patternFill patternType="solid">
          <fgColor rgb="FFFFF3E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3E0"/>
      <rgbColor rgb="FFE8F5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BC"/>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R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51" topLeftCell="E52" activePane="bottomRight" state="frozen"/>
      <selection pane="topLeft" activeCell="A1" activeCellId="0" sqref="A1"/>
      <selection pane="topRight" activeCell="E1" activeCellId="0" sqref="E1"/>
      <selection pane="bottomLeft" activeCell="A52" activeCellId="0" sqref="A52"/>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8"/>
    <col collapsed="false" customWidth="true" hidden="false" outlineLevel="0" max="4" min="4" style="0" width="32"/>
    <col collapsed="false" customWidth="true" hidden="false" outlineLevel="0" max="5" min="5" style="0" width="26"/>
    <col collapsed="false" customWidth="true" hidden="false" outlineLevel="0" max="6" min="6" style="0" width="17"/>
    <col collapsed="false" customWidth="true" hidden="false" outlineLevel="0" max="8" min="7" style="0" width="18"/>
    <col collapsed="false" customWidth="true" hidden="false" outlineLevel="0" max="9" min="9" style="0" width="20"/>
    <col collapsed="false" customWidth="true" hidden="false" outlineLevel="0" max="10" min="10" style="0" width="16"/>
    <col collapsed="false" customWidth="true" hidden="false" outlineLevel="0" max="11" min="11" style="0" width="15"/>
    <col collapsed="false" customWidth="true" hidden="false" outlineLevel="0" max="12" min="12" style="0" width="16"/>
    <col collapsed="false" customWidth="true" hidden="false" outlineLevel="0" max="13" min="13" style="0" width="18"/>
    <col collapsed="false" customWidth="true" hidden="false" outlineLevel="0" max="15" min="14" style="0" width="16"/>
    <col collapsed="false" customWidth="true" hidden="false" outlineLevel="0" max="16" min="16" style="0" width="18"/>
    <col collapsed="false" customWidth="true" hidden="false" outlineLevel="0" max="17" min="17" style="0" width="14"/>
    <col collapsed="false" customWidth="true" hidden="false" outlineLevel="0" max="18" min="18" style="0" width="28"/>
  </cols>
  <sheetData>
    <row r="3" customFormat="false" ht="24.75" hidden="false" customHeight="true" outlineLevel="0" collapsed="false">
      <c r="C3" s="1" t="s">
        <v>0</v>
      </c>
      <c r="D3" s="1"/>
      <c r="E3" s="1"/>
      <c r="F3" s="1"/>
      <c r="G3" s="1"/>
      <c r="H3" s="1"/>
      <c r="I3" s="1"/>
      <c r="J3" s="1"/>
      <c r="K3" s="1"/>
      <c r="L3" s="1"/>
      <c r="M3" s="1"/>
      <c r="N3" s="1"/>
      <c r="O3" s="1"/>
      <c r="P3" s="1"/>
      <c r="Q3" s="1"/>
      <c r="R3" s="1"/>
    </row>
    <row r="5" customFormat="false" ht="15" hidden="false" customHeight="false" outlineLevel="0" collapsed="false">
      <c r="C5" s="2" t="s">
        <v>1</v>
      </c>
      <c r="D5" s="2"/>
      <c r="E5" s="2"/>
      <c r="F5" s="2"/>
      <c r="G5" s="2"/>
      <c r="H5" s="2"/>
      <c r="I5" s="2"/>
      <c r="J5" s="2"/>
      <c r="K5" s="2"/>
      <c r="L5" s="2"/>
      <c r="M5" s="2"/>
      <c r="N5" s="2"/>
      <c r="O5" s="2"/>
      <c r="P5" s="2"/>
      <c r="Q5" s="2"/>
      <c r="R5" s="2"/>
    </row>
    <row r="6" customFormat="false" ht="15" hidden="false" customHeight="false" outlineLevel="0" collapsed="false">
      <c r="C6" s="3" t="s">
        <v>2</v>
      </c>
      <c r="D6" s="3"/>
      <c r="E6" s="3"/>
      <c r="F6" s="3"/>
      <c r="G6" s="3"/>
      <c r="H6" s="3"/>
      <c r="I6" s="3"/>
      <c r="J6" s="3"/>
      <c r="K6" s="3"/>
      <c r="L6" s="3"/>
      <c r="M6" s="3"/>
      <c r="N6" s="3"/>
      <c r="O6" s="3"/>
      <c r="P6" s="3"/>
      <c r="Q6" s="3"/>
      <c r="R6" s="3"/>
    </row>
    <row r="8" customFormat="false" ht="49.5" hidden="false" customHeight="true" outlineLevel="0" collapsed="false">
      <c r="C8" s="4" t="s">
        <v>3</v>
      </c>
      <c r="D8" s="4"/>
      <c r="E8" s="4"/>
      <c r="F8" s="4"/>
      <c r="G8" s="4"/>
      <c r="H8" s="4"/>
      <c r="I8" s="4"/>
      <c r="J8" s="4"/>
      <c r="K8" s="4"/>
      <c r="L8" s="4"/>
      <c r="M8" s="4"/>
      <c r="N8" s="4"/>
      <c r="O8" s="4"/>
      <c r="P8" s="4"/>
      <c r="Q8" s="4"/>
      <c r="R8" s="4"/>
    </row>
    <row r="9" customFormat="false" ht="15" hidden="false" customHeight="false" outlineLevel="0" collapsed="false">
      <c r="C9" s="4"/>
      <c r="D9" s="4"/>
      <c r="E9" s="4"/>
      <c r="F9" s="4"/>
      <c r="G9" s="4"/>
      <c r="H9" s="4"/>
      <c r="I9" s="4"/>
      <c r="J9" s="4"/>
      <c r="K9" s="4"/>
      <c r="L9" s="4"/>
      <c r="M9" s="4"/>
      <c r="N9" s="4"/>
      <c r="O9" s="4"/>
      <c r="P9" s="4"/>
      <c r="Q9" s="4"/>
      <c r="R9" s="4"/>
    </row>
    <row r="11" customFormat="false" ht="15" hidden="false" customHeight="false" outlineLevel="0" collapsed="false">
      <c r="C11" s="5" t="s">
        <v>4</v>
      </c>
      <c r="D11" s="5"/>
      <c r="E11" s="5"/>
      <c r="F11" s="5"/>
      <c r="G11" s="5"/>
    </row>
    <row r="12" customFormat="false" ht="33.75" hidden="false" customHeight="true" outlineLevel="0" collapsed="false">
      <c r="C12" s="6" t="s">
        <v>5</v>
      </c>
      <c r="D12" s="7" t="s">
        <v>6</v>
      </c>
      <c r="E12" s="7" t="s">
        <v>7</v>
      </c>
      <c r="F12" s="7" t="s">
        <v>8</v>
      </c>
      <c r="G12" s="8" t="s">
        <v>9</v>
      </c>
    </row>
    <row r="13" customFormat="false" ht="27.75" hidden="false" customHeight="true" outlineLevel="0" collapsed="false">
      <c r="C13" s="9" t="s">
        <v>10</v>
      </c>
      <c r="D13" s="10" t="n">
        <v>1.5</v>
      </c>
      <c r="E13" s="11" t="s">
        <v>11</v>
      </c>
      <c r="F13" s="11" t="s">
        <v>12</v>
      </c>
      <c r="G13" s="12" t="s">
        <v>13</v>
      </c>
    </row>
    <row r="14" customFormat="false" ht="27.75" hidden="false" customHeight="true" outlineLevel="0" collapsed="false">
      <c r="C14" s="9" t="s">
        <v>14</v>
      </c>
      <c r="D14" s="13" t="n">
        <v>2000</v>
      </c>
      <c r="E14" s="11" t="s">
        <v>15</v>
      </c>
      <c r="F14" s="11" t="s">
        <v>16</v>
      </c>
      <c r="G14" s="12" t="s">
        <v>17</v>
      </c>
    </row>
    <row r="15" customFormat="false" ht="27.75" hidden="false" customHeight="true" outlineLevel="0" collapsed="false">
      <c r="C15" s="9" t="s">
        <v>18</v>
      </c>
      <c r="D15" s="14" t="s">
        <v>19</v>
      </c>
      <c r="E15" s="11" t="s">
        <v>20</v>
      </c>
      <c r="F15" s="11" t="s">
        <v>21</v>
      </c>
      <c r="G15" s="12" t="s">
        <v>22</v>
      </c>
    </row>
    <row r="16" customFormat="false" ht="27.75" hidden="false" customHeight="true" outlineLevel="0" collapsed="false">
      <c r="C16" s="9" t="s">
        <v>23</v>
      </c>
      <c r="D16" s="14" t="n">
        <v>30</v>
      </c>
      <c r="E16" s="11" t="s">
        <v>24</v>
      </c>
      <c r="F16" s="11" t="s">
        <v>25</v>
      </c>
      <c r="G16" s="12" t="s">
        <v>26</v>
      </c>
    </row>
    <row r="17" customFormat="false" ht="27.75" hidden="false" customHeight="true" outlineLevel="0" collapsed="false">
      <c r="C17" s="9" t="s">
        <v>27</v>
      </c>
      <c r="D17" s="13" t="n">
        <v>180000</v>
      </c>
      <c r="E17" s="11" t="s">
        <v>28</v>
      </c>
      <c r="F17" s="11" t="s">
        <v>29</v>
      </c>
      <c r="G17" s="12" t="s">
        <v>30</v>
      </c>
    </row>
    <row r="18" customFormat="false" ht="15" hidden="false" customHeight="false" outlineLevel="0" collapsed="false">
      <c r="C18" s="15"/>
      <c r="D18" s="16"/>
      <c r="E18" s="16"/>
      <c r="F18" s="16"/>
      <c r="G18" s="17"/>
    </row>
    <row r="21" customFormat="false" ht="15" hidden="false" customHeight="false" outlineLevel="0" collapsed="false">
      <c r="C21" s="5" t="s">
        <v>31</v>
      </c>
      <c r="D21" s="5"/>
      <c r="E21" s="5"/>
      <c r="F21" s="5"/>
      <c r="G21" s="5"/>
      <c r="H21" s="5"/>
      <c r="I21" s="5"/>
      <c r="J21" s="5"/>
      <c r="K21" s="5"/>
      <c r="L21" s="5"/>
      <c r="M21" s="5"/>
      <c r="N21" s="5"/>
      <c r="O21" s="5"/>
      <c r="P21" s="5"/>
    </row>
    <row r="22" customFormat="false" ht="33.75" hidden="false" customHeight="true" outlineLevel="0" collapsed="false">
      <c r="C22" s="6" t="s">
        <v>32</v>
      </c>
      <c r="D22" s="7" t="s">
        <v>33</v>
      </c>
      <c r="E22" s="7" t="s">
        <v>34</v>
      </c>
      <c r="F22" s="7" t="s">
        <v>35</v>
      </c>
      <c r="G22" s="7" t="s">
        <v>36</v>
      </c>
      <c r="H22" s="7" t="s">
        <v>37</v>
      </c>
      <c r="I22" s="7" t="s">
        <v>38</v>
      </c>
      <c r="J22" s="18" t="s">
        <v>39</v>
      </c>
      <c r="K22" s="7" t="s">
        <v>40</v>
      </c>
      <c r="L22" s="7" t="s">
        <v>41</v>
      </c>
      <c r="M22" s="7" t="s">
        <v>42</v>
      </c>
      <c r="N22" s="7" t="s">
        <v>43</v>
      </c>
      <c r="O22" s="7" t="s">
        <v>44</v>
      </c>
      <c r="P22" s="8" t="s">
        <v>45</v>
      </c>
    </row>
    <row r="23" customFormat="false" ht="22.5" hidden="false" customHeight="true" outlineLevel="0" collapsed="false">
      <c r="C23" s="19" t="s">
        <v>46</v>
      </c>
      <c r="D23" s="20" t="n">
        <f aca="false">SUM(E52:E60)</f>
        <v>121333.333333333</v>
      </c>
      <c r="E23" s="21" t="n">
        <f aca="false">SUM(F52:F60)</f>
        <v>121333.333333333</v>
      </c>
      <c r="F23" s="21" t="n">
        <f aca="false">SUM(G52:G60)</f>
        <v>121333.333333333</v>
      </c>
      <c r="G23" s="21" t="n">
        <f aca="false">SUM(H52:H60)</f>
        <v>121333.333333333</v>
      </c>
      <c r="H23" s="21" t="n">
        <f aca="false">SUM(I52:I60)</f>
        <v>121333.333333333</v>
      </c>
      <c r="I23" s="21" t="n">
        <f aca="false">SUM(J52:J60)</f>
        <v>121333.333333333</v>
      </c>
      <c r="J23" s="21" t="n">
        <f aca="false">SUM(K52:K60)</f>
        <v>199833.333333333</v>
      </c>
      <c r="K23" s="21" t="n">
        <f aca="false">SUM(L52:L60)</f>
        <v>123333.333333333</v>
      </c>
      <c r="L23" s="21" t="n">
        <f aca="false">SUM(M52:M60)</f>
        <v>123333.333333333</v>
      </c>
      <c r="M23" s="21" t="n">
        <f aca="false">SUM(N52:N60)</f>
        <v>123333.333333333</v>
      </c>
      <c r="N23" s="21" t="n">
        <f aca="false">SUM(O52:O60)</f>
        <v>123333.333333333</v>
      </c>
      <c r="O23" s="21" t="n">
        <f aca="false">SUM(P52:P60)</f>
        <v>123333.333333333</v>
      </c>
      <c r="P23" s="22" t="n">
        <f aca="false">SUM(Q52:Q60)</f>
        <v>1544500</v>
      </c>
    </row>
    <row r="24" customFormat="false" ht="22.5" hidden="false" customHeight="true" outlineLevel="0" collapsed="false">
      <c r="C24" s="19" t="s">
        <v>47</v>
      </c>
      <c r="D24" s="21" t="n">
        <f aca="false">-SUMIF($D$52:$D$60,"Yes",E$52:E$60)</f>
        <v>-47000</v>
      </c>
      <c r="E24" s="21" t="n">
        <f aca="false">-SUMIF($D$52:$D$60,"Yes",F$52:F$60)</f>
        <v>-47000</v>
      </c>
      <c r="F24" s="21" t="n">
        <f aca="false">-SUMIF($D$52:$D$60,"Yes",G$52:G$60)</f>
        <v>-47000</v>
      </c>
      <c r="G24" s="21" t="n">
        <f aca="false">-SUMIF($D$52:$D$60,"Yes",H$52:H$60)</f>
        <v>-47000</v>
      </c>
      <c r="H24" s="21" t="n">
        <f aca="false">-SUMIF($D$52:$D$60,"Yes",I$52:I$60)</f>
        <v>-47000</v>
      </c>
      <c r="I24" s="21" t="n">
        <f aca="false">-SUMIF($D$52:$D$60,"Yes",J$52:J$60)</f>
        <v>-47000</v>
      </c>
      <c r="J24" s="21" t="n">
        <f aca="false">-SUMIF($D$52:$D$60,"Yes",K$52:K$60)</f>
        <v>-71500</v>
      </c>
      <c r="K24" s="21" t="n">
        <f aca="false">-SUMIF($D$52:$D$60,"Yes",L$52:L$60)</f>
        <v>-49000</v>
      </c>
      <c r="L24" s="21" t="n">
        <f aca="false">-SUMIF($D$52:$D$60,"Yes",M$52:M$60)</f>
        <v>-49000</v>
      </c>
      <c r="M24" s="21" t="n">
        <f aca="false">-SUMIF($D$52:$D$60,"Yes",N$52:N$60)</f>
        <v>-49000</v>
      </c>
      <c r="N24" s="21" t="n">
        <f aca="false">-SUMIF($D$52:$D$60,"Yes",O$52:O$60)</f>
        <v>-49000</v>
      </c>
      <c r="O24" s="21" t="n">
        <f aca="false">-SUMIF($D$52:$D$60,"Yes",P$52:P$60)</f>
        <v>-49000</v>
      </c>
      <c r="P24" s="22" t="n">
        <f aca="false">-SUMIF($D$52:$D$60,"Yes",$Q$52:$Q$60)</f>
        <v>-598500</v>
      </c>
    </row>
    <row r="25" customFormat="false" ht="22.5" hidden="false" customHeight="true" outlineLevel="0" collapsed="false">
      <c r="C25" s="23" t="s">
        <v>48</v>
      </c>
      <c r="D25" s="24" t="n">
        <f aca="false">D23+D24</f>
        <v>74333.3333333333</v>
      </c>
      <c r="E25" s="24" t="n">
        <f aca="false">E23+E24</f>
        <v>74333.3333333333</v>
      </c>
      <c r="F25" s="24" t="n">
        <f aca="false">F23+F24</f>
        <v>74333.3333333333</v>
      </c>
      <c r="G25" s="24" t="n">
        <f aca="false">G23+G24</f>
        <v>74333.3333333333</v>
      </c>
      <c r="H25" s="24" t="n">
        <f aca="false">H23+H24</f>
        <v>74333.3333333333</v>
      </c>
      <c r="I25" s="24" t="n">
        <f aca="false">I23+I24</f>
        <v>74333.3333333333</v>
      </c>
      <c r="J25" s="24" t="n">
        <f aca="false">J23+J24</f>
        <v>128333.333333333</v>
      </c>
      <c r="K25" s="24" t="n">
        <f aca="false">K23+K24</f>
        <v>74333.3333333333</v>
      </c>
      <c r="L25" s="24" t="n">
        <f aca="false">L23+L24</f>
        <v>74333.3333333333</v>
      </c>
      <c r="M25" s="24" t="n">
        <f aca="false">M23+M24</f>
        <v>74333.3333333333</v>
      </c>
      <c r="N25" s="24" t="n">
        <f aca="false">N23+N24</f>
        <v>74333.3333333333</v>
      </c>
      <c r="O25" s="24" t="n">
        <f aca="false">O23+O24</f>
        <v>74333.3333333333</v>
      </c>
      <c r="P25" s="24" t="n">
        <f aca="false">P23+P24</f>
        <v>946000</v>
      </c>
    </row>
    <row r="28" customFormat="false" ht="15" hidden="false" customHeight="false" outlineLevel="0" collapsed="false">
      <c r="C28" s="5" t="s">
        <v>49</v>
      </c>
      <c r="D28" s="5"/>
      <c r="E28" s="5"/>
    </row>
    <row r="29" customFormat="false" ht="33.75" hidden="false" customHeight="true" outlineLevel="0" collapsed="false">
      <c r="C29" s="6" t="s">
        <v>50</v>
      </c>
      <c r="D29" s="7" t="s">
        <v>51</v>
      </c>
      <c r="E29" s="8" t="s">
        <v>52</v>
      </c>
    </row>
    <row r="30" customFormat="false" ht="15" hidden="false" customHeight="false" outlineLevel="0" collapsed="false">
      <c r="C30" s="19" t="s">
        <v>53</v>
      </c>
      <c r="D30" s="20" t="n">
        <f aca="false">D25</f>
        <v>74333.3333333333</v>
      </c>
      <c r="E30" s="25" t="s">
        <v>54</v>
      </c>
    </row>
    <row r="31" customFormat="false" ht="23.85" hidden="false" customHeight="false" outlineLevel="0" collapsed="false">
      <c r="C31" s="19" t="s">
        <v>55</v>
      </c>
      <c r="D31" s="21" t="n">
        <f aca="false">J25</f>
        <v>128333.333333333</v>
      </c>
      <c r="E31" s="25" t="s">
        <v>56</v>
      </c>
    </row>
    <row r="32" customFormat="false" ht="35.05" hidden="false" customHeight="false" outlineLevel="0" collapsed="false">
      <c r="C32" s="19" t="s">
        <v>57</v>
      </c>
      <c r="D32" s="21" t="n">
        <f aca="false">K25</f>
        <v>74333.3333333333</v>
      </c>
      <c r="E32" s="25" t="s">
        <v>58</v>
      </c>
    </row>
    <row r="33" customFormat="false" ht="23.85" hidden="false" customHeight="false" outlineLevel="0" collapsed="false">
      <c r="C33" s="19" t="s">
        <v>59</v>
      </c>
      <c r="D33" s="21" t="n">
        <f aca="false">P23</f>
        <v>1544500</v>
      </c>
      <c r="E33" s="25" t="s">
        <v>60</v>
      </c>
    </row>
    <row r="34" customFormat="false" ht="23.85" hidden="false" customHeight="false" outlineLevel="0" collapsed="false">
      <c r="C34" s="19" t="s">
        <v>61</v>
      </c>
      <c r="D34" s="21" t="n">
        <f aca="false">-P24</f>
        <v>598500</v>
      </c>
      <c r="E34" s="25" t="s">
        <v>62</v>
      </c>
    </row>
    <row r="35" customFormat="false" ht="23.85" hidden="false" customHeight="false" outlineLevel="0" collapsed="false">
      <c r="C35" s="26" t="s">
        <v>63</v>
      </c>
      <c r="D35" s="21" t="n">
        <f aca="false">P25</f>
        <v>946000</v>
      </c>
      <c r="E35" s="25" t="s">
        <v>64</v>
      </c>
    </row>
    <row r="36" customFormat="false" ht="15" hidden="false" customHeight="false" outlineLevel="0" collapsed="false">
      <c r="C36" s="5" t="s">
        <v>65</v>
      </c>
      <c r="D36" s="5"/>
      <c r="E36" s="5"/>
      <c r="F36" s="5"/>
      <c r="G36" s="5"/>
      <c r="H36" s="5"/>
      <c r="I36" s="5"/>
      <c r="J36" s="5"/>
      <c r="K36" s="5"/>
      <c r="L36" s="5"/>
      <c r="M36" s="5"/>
      <c r="N36" s="5"/>
      <c r="O36" s="5"/>
      <c r="P36" s="5"/>
      <c r="Q36" s="5"/>
      <c r="R36" s="5"/>
    </row>
    <row r="37" customFormat="false" ht="33.75" hidden="false" customHeight="true" outlineLevel="0" collapsed="false">
      <c r="C37" s="6" t="s">
        <v>66</v>
      </c>
      <c r="D37" s="7" t="s">
        <v>67</v>
      </c>
      <c r="E37" s="7" t="s">
        <v>68</v>
      </c>
      <c r="F37" s="7" t="s">
        <v>69</v>
      </c>
      <c r="G37" s="7" t="s">
        <v>70</v>
      </c>
      <c r="H37" s="7" t="s">
        <v>71</v>
      </c>
      <c r="I37" s="7" t="s">
        <v>72</v>
      </c>
      <c r="J37" s="7" t="s">
        <v>73</v>
      </c>
      <c r="K37" s="7" t="s">
        <v>74</v>
      </c>
      <c r="L37" s="7" t="s">
        <v>75</v>
      </c>
      <c r="M37" s="7" t="s">
        <v>76</v>
      </c>
      <c r="N37" s="7" t="s">
        <v>77</v>
      </c>
      <c r="O37" s="7" t="s">
        <v>78</v>
      </c>
      <c r="P37" s="7" t="s">
        <v>79</v>
      </c>
      <c r="Q37" s="7" t="s">
        <v>80</v>
      </c>
      <c r="R37" s="8" t="s">
        <v>81</v>
      </c>
    </row>
    <row r="38" customFormat="false" ht="33.75" hidden="false" customHeight="true" outlineLevel="0" collapsed="false">
      <c r="C38" s="27" t="n">
        <v>1</v>
      </c>
      <c r="D38" s="11" t="s">
        <v>82</v>
      </c>
      <c r="E38" s="11" t="s">
        <v>83</v>
      </c>
      <c r="F38" s="11" t="s">
        <v>84</v>
      </c>
      <c r="G38" s="11" t="s">
        <v>85</v>
      </c>
      <c r="H38" s="11" t="s">
        <v>86</v>
      </c>
      <c r="I38" s="28" t="s">
        <v>87</v>
      </c>
      <c r="J38" s="29" t="n">
        <v>216000</v>
      </c>
      <c r="K38" s="20" t="n">
        <f aca="false">J38/12</f>
        <v>18000</v>
      </c>
      <c r="L38" s="30" t="n">
        <v>12000</v>
      </c>
      <c r="M38" s="21" t="n">
        <f aca="false">IF(F38="Repatriate",$D$13*K38,0)</f>
        <v>27000</v>
      </c>
      <c r="N38" s="21" t="n">
        <f aca="false">IF(E38="Alan McKeon",$D$14,0)</f>
        <v>0</v>
      </c>
      <c r="O38" s="31" t="str">
        <f aca="false">IF(E38="Alan McKeon",$D$15,"—")</f>
        <v>—</v>
      </c>
      <c r="P38" s="32" t="n">
        <f aca="false">IF(OR(G38="Local — Venezuela",G38="Local"),$D$16,0)</f>
        <v>30</v>
      </c>
      <c r="Q38" s="33" t="s">
        <v>88</v>
      </c>
      <c r="R38" s="12" t="s">
        <v>89</v>
      </c>
    </row>
    <row r="39" customFormat="false" ht="33.75" hidden="false" customHeight="true" outlineLevel="0" collapsed="false">
      <c r="C39" s="27" t="n">
        <v>2</v>
      </c>
      <c r="D39" s="11" t="s">
        <v>90</v>
      </c>
      <c r="E39" s="11" t="s">
        <v>91</v>
      </c>
      <c r="F39" s="11" t="s">
        <v>84</v>
      </c>
      <c r="G39" s="11" t="s">
        <v>85</v>
      </c>
      <c r="H39" s="11" t="s">
        <v>86</v>
      </c>
      <c r="I39" s="28" t="s">
        <v>87</v>
      </c>
      <c r="J39" s="30" t="n">
        <v>180000</v>
      </c>
      <c r="K39" s="21" t="n">
        <f aca="false">J39/12</f>
        <v>15000</v>
      </c>
      <c r="L39" s="30" t="n">
        <v>12000</v>
      </c>
      <c r="M39" s="21" t="n">
        <f aca="false">IF(F39="Repatriate",$D$13*K39,0)</f>
        <v>22500</v>
      </c>
      <c r="N39" s="21" t="n">
        <f aca="false">IF(E39="Alan McKeon",$D$14,0)</f>
        <v>0</v>
      </c>
      <c r="O39" s="31" t="str">
        <f aca="false">IF(E39="Alan McKeon",$D$15,"—")</f>
        <v>—</v>
      </c>
      <c r="P39" s="32" t="n">
        <f aca="false">IF(OR(G39="Local — Venezuela",G39="Local"),$D$16,0)</f>
        <v>30</v>
      </c>
      <c r="Q39" s="33" t="s">
        <v>92</v>
      </c>
      <c r="R39" s="12" t="s">
        <v>93</v>
      </c>
    </row>
    <row r="40" customFormat="false" ht="33.75" hidden="false" customHeight="true" outlineLevel="0" collapsed="false">
      <c r="C40" s="27" t="n">
        <v>3</v>
      </c>
      <c r="D40" s="11" t="s">
        <v>94</v>
      </c>
      <c r="E40" s="11" t="s">
        <v>95</v>
      </c>
      <c r="F40" s="11" t="s">
        <v>84</v>
      </c>
      <c r="G40" s="11" t="s">
        <v>85</v>
      </c>
      <c r="H40" s="11" t="s">
        <v>86</v>
      </c>
      <c r="I40" s="28" t="s">
        <v>87</v>
      </c>
      <c r="J40" s="30" t="n">
        <v>216000</v>
      </c>
      <c r="K40" s="21" t="n">
        <f aca="false">J40/12</f>
        <v>18000</v>
      </c>
      <c r="L40" s="30" t="n">
        <v>12000</v>
      </c>
      <c r="M40" s="21" t="n">
        <f aca="false">IF(F40="Repatriate",$D$13*K40,0)</f>
        <v>27000</v>
      </c>
      <c r="N40" s="21" t="n">
        <f aca="false">IF(E40="Alan McKeon",$D$14,0)</f>
        <v>0</v>
      </c>
      <c r="O40" s="31" t="str">
        <f aca="false">IF(E40="Alan McKeon",$D$15,"—")</f>
        <v>—</v>
      </c>
      <c r="P40" s="32" t="n">
        <f aca="false">IF(OR(G40="Local — Venezuela",G40="Local"),$D$16,0)</f>
        <v>30</v>
      </c>
      <c r="Q40" s="33" t="s">
        <v>88</v>
      </c>
      <c r="R40" s="12" t="s">
        <v>89</v>
      </c>
    </row>
    <row r="41" customFormat="false" ht="33.75" hidden="false" customHeight="true" outlineLevel="0" collapsed="false">
      <c r="C41" s="27" t="n">
        <v>4</v>
      </c>
      <c r="D41" s="11" t="s">
        <v>96</v>
      </c>
      <c r="E41" s="11" t="s">
        <v>97</v>
      </c>
      <c r="F41" s="11" t="s">
        <v>98</v>
      </c>
      <c r="G41" s="11" t="s">
        <v>98</v>
      </c>
      <c r="H41" s="11" t="s">
        <v>86</v>
      </c>
      <c r="I41" s="28" t="s">
        <v>87</v>
      </c>
      <c r="J41" s="30" t="n">
        <v>180000</v>
      </c>
      <c r="K41" s="21" t="n">
        <f aca="false">J41/12</f>
        <v>15000</v>
      </c>
      <c r="L41" s="30" t="n">
        <v>12000</v>
      </c>
      <c r="M41" s="21" t="n">
        <f aca="false">IF(F41="Repatriate",$D$13*K41,0)</f>
        <v>0</v>
      </c>
      <c r="N41" s="21" t="n">
        <f aca="false">IF(E41="Alan McKeon",$D$14,0)</f>
        <v>2000</v>
      </c>
      <c r="O41" s="31" t="str">
        <f aca="false">IF(E41="Alan McKeon",$D$15,"—")</f>
        <v>Home leave</v>
      </c>
      <c r="P41" s="32" t="n">
        <f aca="false">IF(OR(G41="Local — Venezuela",G41="Local"),$D$16,0)</f>
        <v>0</v>
      </c>
      <c r="Q41" s="33" t="s">
        <v>92</v>
      </c>
      <c r="R41" s="12" t="s">
        <v>99</v>
      </c>
    </row>
    <row r="42" customFormat="false" ht="33.75" hidden="false" customHeight="true" outlineLevel="0" collapsed="false">
      <c r="C42" s="27" t="n">
        <v>5</v>
      </c>
      <c r="D42" s="11" t="s">
        <v>100</v>
      </c>
      <c r="E42" s="11" t="s">
        <v>101</v>
      </c>
      <c r="F42" s="11" t="s">
        <v>102</v>
      </c>
      <c r="G42" s="11" t="s">
        <v>102</v>
      </c>
      <c r="H42" s="11" t="s">
        <v>103</v>
      </c>
      <c r="I42" s="34" t="s">
        <v>104</v>
      </c>
      <c r="J42" s="30" t="n">
        <v>120000</v>
      </c>
      <c r="K42" s="21" t="n">
        <f aca="false">J42/12</f>
        <v>10000</v>
      </c>
      <c r="L42" s="30" t="n">
        <v>12000</v>
      </c>
      <c r="M42" s="21" t="n">
        <f aca="false">IF(F42="Repatriate",$D$13*K42,0)</f>
        <v>0</v>
      </c>
      <c r="N42" s="21" t="n">
        <f aca="false">IF(E42="Alan McKeon",$D$14,0)</f>
        <v>0</v>
      </c>
      <c r="O42" s="31" t="str">
        <f aca="false">IF(E42="Alan McKeon",$D$15,"—")</f>
        <v>—</v>
      </c>
      <c r="P42" s="32" t="n">
        <f aca="false">IF(OR(G42="Local — Venezuela",G42="Local"),$D$16,0)</f>
        <v>30</v>
      </c>
      <c r="Q42" s="33" t="s">
        <v>88</v>
      </c>
      <c r="R42" s="12" t="s">
        <v>89</v>
      </c>
    </row>
    <row r="43" customFormat="false" ht="33.75" hidden="false" customHeight="true" outlineLevel="0" collapsed="false">
      <c r="C43" s="27" t="n">
        <v>6</v>
      </c>
      <c r="D43" s="11" t="s">
        <v>105</v>
      </c>
      <c r="E43" s="11" t="s">
        <v>106</v>
      </c>
      <c r="F43" s="11" t="s">
        <v>98</v>
      </c>
      <c r="G43" s="11" t="s">
        <v>98</v>
      </c>
      <c r="H43" s="11" t="s">
        <v>107</v>
      </c>
      <c r="I43" s="34" t="s">
        <v>104</v>
      </c>
      <c r="J43" s="30" t="n">
        <v>180000</v>
      </c>
      <c r="K43" s="21" t="n">
        <f aca="false">J43/12</f>
        <v>15000</v>
      </c>
      <c r="L43" s="30" t="n">
        <v>12000</v>
      </c>
      <c r="M43" s="21" t="n">
        <f aca="false">IF(F43="Repatriate",$D$13*K43,0)</f>
        <v>0</v>
      </c>
      <c r="N43" s="21" t="n">
        <f aca="false">IF(E43="Alan McKeon",$D$14,0)</f>
        <v>0</v>
      </c>
      <c r="O43" s="31" t="str">
        <f aca="false">IF(E43="Alan McKeon",$D$15,"—")</f>
        <v>—</v>
      </c>
      <c r="P43" s="32" t="n">
        <f aca="false">IF(OR(G43="Local — Venezuela",G43="Local"),$D$16,0)</f>
        <v>0</v>
      </c>
      <c r="Q43" s="33" t="s">
        <v>88</v>
      </c>
      <c r="R43" s="12" t="s">
        <v>89</v>
      </c>
    </row>
    <row r="44" customFormat="false" ht="33.75" hidden="false" customHeight="true" outlineLevel="0" collapsed="false">
      <c r="C44" s="27" t="n">
        <v>7</v>
      </c>
      <c r="D44" s="11" t="s">
        <v>108</v>
      </c>
      <c r="E44" s="11" t="s">
        <v>109</v>
      </c>
      <c r="F44" s="11" t="s">
        <v>102</v>
      </c>
      <c r="G44" s="11" t="s">
        <v>102</v>
      </c>
      <c r="H44" s="11" t="s">
        <v>86</v>
      </c>
      <c r="I44" s="28" t="s">
        <v>87</v>
      </c>
      <c r="J44" s="30" t="n">
        <v>48000</v>
      </c>
      <c r="K44" s="21" t="n">
        <f aca="false">J44/12</f>
        <v>4000</v>
      </c>
      <c r="L44" s="30" t="n">
        <v>8000</v>
      </c>
      <c r="M44" s="21" t="n">
        <f aca="false">IF(F44="Repatriate",$D$13*K44,0)</f>
        <v>0</v>
      </c>
      <c r="N44" s="21" t="n">
        <f aca="false">IF(E44="Alan McKeon",$D$14,0)</f>
        <v>0</v>
      </c>
      <c r="O44" s="31" t="str">
        <f aca="false">IF(E44="Alan McKeon",$D$15,"—")</f>
        <v>—</v>
      </c>
      <c r="P44" s="32" t="n">
        <f aca="false">IF(OR(G44="Local — Venezuela",G44="Local"),$D$16,0)</f>
        <v>30</v>
      </c>
      <c r="Q44" s="33" t="s">
        <v>88</v>
      </c>
      <c r="R44" s="12" t="s">
        <v>89</v>
      </c>
    </row>
    <row r="45" customFormat="false" ht="33.75" hidden="false" customHeight="true" outlineLevel="0" collapsed="false">
      <c r="C45" s="27" t="n">
        <v>8</v>
      </c>
      <c r="D45" s="11" t="s">
        <v>110</v>
      </c>
      <c r="E45" s="11" t="s">
        <v>111</v>
      </c>
      <c r="F45" s="11" t="s">
        <v>112</v>
      </c>
      <c r="G45" s="11" t="s">
        <v>112</v>
      </c>
      <c r="H45" s="11" t="s">
        <v>112</v>
      </c>
      <c r="I45" s="35" t="s">
        <v>113</v>
      </c>
      <c r="J45" s="30" t="n">
        <v>48000</v>
      </c>
      <c r="K45" s="21" t="n">
        <f aca="false">J45/12</f>
        <v>4000</v>
      </c>
      <c r="L45" s="30" t="n">
        <v>8000</v>
      </c>
      <c r="M45" s="21" t="n">
        <f aca="false">IF(F45="Repatriate",$D$13*K45,0)</f>
        <v>0</v>
      </c>
      <c r="N45" s="21" t="n">
        <f aca="false">IF(E45="Alan McKeon",$D$14,0)</f>
        <v>0</v>
      </c>
      <c r="O45" s="31" t="str">
        <f aca="false">IF(E45="Alan McKeon",$D$15,"—")</f>
        <v>—</v>
      </c>
      <c r="P45" s="32" t="n">
        <f aca="false">IF(OR(G45="Local — Venezuela",G45="Local"),$D$16,0)</f>
        <v>0</v>
      </c>
      <c r="Q45" s="33" t="s">
        <v>88</v>
      </c>
      <c r="R45" s="12" t="s">
        <v>89</v>
      </c>
    </row>
    <row r="46" customFormat="false" ht="33.75" hidden="false" customHeight="true" outlineLevel="0" collapsed="false">
      <c r="C46" s="27" t="n">
        <v>9</v>
      </c>
      <c r="D46" s="11" t="s">
        <v>114</v>
      </c>
      <c r="E46" s="11" t="s">
        <v>115</v>
      </c>
      <c r="F46" s="11" t="s">
        <v>116</v>
      </c>
      <c r="G46" s="11" t="s">
        <v>116</v>
      </c>
      <c r="H46" s="11" t="s">
        <v>86</v>
      </c>
      <c r="I46" s="34" t="s">
        <v>117</v>
      </c>
      <c r="J46" s="21" t="n">
        <f aca="false">$D$17</f>
        <v>180000</v>
      </c>
      <c r="K46" s="21" t="n">
        <f aca="false">J46/12</f>
        <v>15000</v>
      </c>
      <c r="L46" s="30" t="n">
        <v>0</v>
      </c>
      <c r="M46" s="21" t="n">
        <f aca="false">IF(F46="Repatriate",$D$13*K46,0)</f>
        <v>0</v>
      </c>
      <c r="N46" s="21" t="n">
        <f aca="false">IF(E46="Alan McKeon",$D$14,0)</f>
        <v>0</v>
      </c>
      <c r="O46" s="31" t="str">
        <f aca="false">IF(E46="Alan McKeon",$D$15,"—")</f>
        <v>—</v>
      </c>
      <c r="P46" s="32" t="n">
        <f aca="false">IF(OR(G46="Local — Venezuela",G46="Local"),$D$16,0)</f>
        <v>0</v>
      </c>
      <c r="Q46" s="33" t="s">
        <v>92</v>
      </c>
      <c r="R46" s="12" t="s">
        <v>118</v>
      </c>
    </row>
    <row r="47" customFormat="false" ht="15" hidden="false" customHeight="false" outlineLevel="0" collapsed="false">
      <c r="C47" s="26" t="s">
        <v>119</v>
      </c>
      <c r="D47" s="26"/>
      <c r="E47" s="26"/>
      <c r="F47" s="26"/>
      <c r="G47" s="26"/>
      <c r="H47" s="26"/>
      <c r="I47" s="26"/>
      <c r="J47" s="20" t="n">
        <f aca="false">SUM(J38:J46)</f>
        <v>1368000</v>
      </c>
      <c r="K47" s="21" t="n">
        <f aca="false">SUM(K38:K46)</f>
        <v>114000</v>
      </c>
      <c r="L47" s="21" t="n">
        <f aca="false">SUM(L38:L46)</f>
        <v>88000</v>
      </c>
      <c r="M47" s="21" t="n">
        <f aca="false">SUM(M38:M46)</f>
        <v>76500</v>
      </c>
      <c r="N47" s="21" t="n">
        <f aca="false">SUM(N38:N46)</f>
        <v>2000</v>
      </c>
      <c r="O47" s="16" t="s">
        <v>120</v>
      </c>
      <c r="P47" s="36" t="n">
        <f aca="false">SUM(P38:P46)</f>
        <v>150</v>
      </c>
      <c r="Q47" s="16" t="s">
        <v>121</v>
      </c>
      <c r="R47" s="17" t="s">
        <v>122</v>
      </c>
    </row>
    <row r="50" customFormat="false" ht="15" hidden="false" customHeight="false" outlineLevel="0" collapsed="false">
      <c r="C50" s="5" t="s">
        <v>123</v>
      </c>
      <c r="D50" s="5"/>
      <c r="E50" s="5"/>
      <c r="F50" s="5"/>
      <c r="G50" s="5"/>
      <c r="H50" s="5"/>
      <c r="I50" s="5"/>
      <c r="J50" s="5"/>
      <c r="K50" s="5"/>
      <c r="L50" s="5"/>
      <c r="M50" s="5"/>
      <c r="N50" s="5"/>
      <c r="O50" s="5"/>
      <c r="P50" s="5"/>
      <c r="Q50" s="5"/>
    </row>
    <row r="51" customFormat="false" ht="33.75" hidden="false" customHeight="true" outlineLevel="0" collapsed="false">
      <c r="C51" s="6" t="s">
        <v>68</v>
      </c>
      <c r="D51" s="7" t="s">
        <v>80</v>
      </c>
      <c r="E51" s="7" t="s">
        <v>33</v>
      </c>
      <c r="F51" s="7" t="s">
        <v>34</v>
      </c>
      <c r="G51" s="7" t="s">
        <v>35</v>
      </c>
      <c r="H51" s="7" t="s">
        <v>36</v>
      </c>
      <c r="I51" s="7" t="s">
        <v>37</v>
      </c>
      <c r="J51" s="7" t="s">
        <v>38</v>
      </c>
      <c r="K51" s="18" t="s">
        <v>39</v>
      </c>
      <c r="L51" s="7" t="s">
        <v>40</v>
      </c>
      <c r="M51" s="7" t="s">
        <v>41</v>
      </c>
      <c r="N51" s="7" t="s">
        <v>42</v>
      </c>
      <c r="O51" s="7" t="s">
        <v>43</v>
      </c>
      <c r="P51" s="7" t="s">
        <v>44</v>
      </c>
      <c r="Q51" s="8" t="s">
        <v>124</v>
      </c>
    </row>
    <row r="52" customFormat="false" ht="21.75" hidden="false" customHeight="true" outlineLevel="0" collapsed="false">
      <c r="C52" s="37" t="str">
        <f aca="false">E38</f>
        <v>Juan Conde</v>
      </c>
      <c r="D52" s="38" t="str">
        <f aca="false">Q38</f>
        <v>No</v>
      </c>
      <c r="E52" s="20" t="n">
        <f aca="false">$K$38+$L$38/12</f>
        <v>19000</v>
      </c>
      <c r="F52" s="21" t="n">
        <f aca="false">$K$38+$L$38/12</f>
        <v>19000</v>
      </c>
      <c r="G52" s="21" t="n">
        <f aca="false">$K$38+$L$38/12</f>
        <v>19000</v>
      </c>
      <c r="H52" s="21" t="n">
        <f aca="false">$K$38+$L$38/12</f>
        <v>19000</v>
      </c>
      <c r="I52" s="21" t="n">
        <f aca="false">$K$38+$L$38/12</f>
        <v>19000</v>
      </c>
      <c r="J52" s="21" t="n">
        <f aca="false">$K$38+$L$38/12</f>
        <v>19000</v>
      </c>
      <c r="K52" s="21" t="n">
        <f aca="false">$K$38+$L$38/12+$M$38+$N$38</f>
        <v>46000</v>
      </c>
      <c r="L52" s="21" t="n">
        <f aca="false">$K$38+$L$38/12+$N$38</f>
        <v>19000</v>
      </c>
      <c r="M52" s="21" t="n">
        <f aca="false">$K$38+$L$38/12+$N$38</f>
        <v>19000</v>
      </c>
      <c r="N52" s="21" t="n">
        <f aca="false">$K$38+$L$38/12+$N$38</f>
        <v>19000</v>
      </c>
      <c r="O52" s="21" t="n">
        <f aca="false">$K$38+$L$38/12+$N$38</f>
        <v>19000</v>
      </c>
      <c r="P52" s="21" t="n">
        <f aca="false">$K$38+$L$38/12+$N$38</f>
        <v>19000</v>
      </c>
      <c r="Q52" s="39" t="n">
        <f aca="false">SUM(E52:P52)</f>
        <v>255000</v>
      </c>
    </row>
    <row r="53" customFormat="false" ht="21.75" hidden="false" customHeight="true" outlineLevel="0" collapsed="false">
      <c r="C53" s="37" t="str">
        <f aca="false">E39</f>
        <v>Alexander Stulme</v>
      </c>
      <c r="D53" s="38" t="str">
        <f aca="false">Q39</f>
        <v>Yes</v>
      </c>
      <c r="E53" s="21" t="n">
        <f aca="false">$K$39+$L$39/12</f>
        <v>16000</v>
      </c>
      <c r="F53" s="21" t="n">
        <f aca="false">$K$39+$L$39/12</f>
        <v>16000</v>
      </c>
      <c r="G53" s="21" t="n">
        <f aca="false">$K$39+$L$39/12</f>
        <v>16000</v>
      </c>
      <c r="H53" s="21" t="n">
        <f aca="false">$K$39+$L$39/12</f>
        <v>16000</v>
      </c>
      <c r="I53" s="21" t="n">
        <f aca="false">$K$39+$L$39/12</f>
        <v>16000</v>
      </c>
      <c r="J53" s="21" t="n">
        <f aca="false">$K$39+$L$39/12</f>
        <v>16000</v>
      </c>
      <c r="K53" s="21" t="n">
        <f aca="false">$K$39+$L$39/12+$M$39+$N$39</f>
        <v>38500</v>
      </c>
      <c r="L53" s="21" t="n">
        <f aca="false">$K$39+$L$39/12+$N$39</f>
        <v>16000</v>
      </c>
      <c r="M53" s="21" t="n">
        <f aca="false">$K$39+$L$39/12+$N$39</f>
        <v>16000</v>
      </c>
      <c r="N53" s="21" t="n">
        <f aca="false">$K$39+$L$39/12+$N$39</f>
        <v>16000</v>
      </c>
      <c r="O53" s="21" t="n">
        <f aca="false">$K$39+$L$39/12+$N$39</f>
        <v>16000</v>
      </c>
      <c r="P53" s="21" t="n">
        <f aca="false">$K$39+$L$39/12+$N$39</f>
        <v>16000</v>
      </c>
      <c r="Q53" s="40" t="n">
        <f aca="false">SUM(E53:P53)</f>
        <v>214500</v>
      </c>
    </row>
    <row r="54" customFormat="false" ht="21.75" hidden="false" customHeight="true" outlineLevel="0" collapsed="false">
      <c r="C54" s="37" t="str">
        <f aca="false">E40</f>
        <v>Félix Valderrama</v>
      </c>
      <c r="D54" s="38" t="str">
        <f aca="false">Q40</f>
        <v>No</v>
      </c>
      <c r="E54" s="21" t="n">
        <f aca="false">$K$40+$L$40/12</f>
        <v>19000</v>
      </c>
      <c r="F54" s="21" t="n">
        <f aca="false">$K$40+$L$40/12</f>
        <v>19000</v>
      </c>
      <c r="G54" s="21" t="n">
        <f aca="false">$K$40+$L$40/12</f>
        <v>19000</v>
      </c>
      <c r="H54" s="21" t="n">
        <f aca="false">$K$40+$L$40/12</f>
        <v>19000</v>
      </c>
      <c r="I54" s="21" t="n">
        <f aca="false">$K$40+$L$40/12</f>
        <v>19000</v>
      </c>
      <c r="J54" s="21" t="n">
        <f aca="false">$K$40+$L$40/12</f>
        <v>19000</v>
      </c>
      <c r="K54" s="21" t="n">
        <f aca="false">$K$40+$L$40/12+$M$40+$N$40</f>
        <v>46000</v>
      </c>
      <c r="L54" s="21" t="n">
        <f aca="false">$K$40+$L$40/12+$N$40</f>
        <v>19000</v>
      </c>
      <c r="M54" s="21" t="n">
        <f aca="false">$K$40+$L$40/12+$N$40</f>
        <v>19000</v>
      </c>
      <c r="N54" s="21" t="n">
        <f aca="false">$K$40+$L$40/12+$N$40</f>
        <v>19000</v>
      </c>
      <c r="O54" s="21" t="n">
        <f aca="false">$K$40+$L$40/12+$N$40</f>
        <v>19000</v>
      </c>
      <c r="P54" s="21" t="n">
        <f aca="false">$K$40+$L$40/12+$N$40</f>
        <v>19000</v>
      </c>
      <c r="Q54" s="40" t="n">
        <f aca="false">SUM(E54:P54)</f>
        <v>255000</v>
      </c>
    </row>
    <row r="55" customFormat="false" ht="21.75" hidden="false" customHeight="true" outlineLevel="0" collapsed="false">
      <c r="C55" s="37" t="str">
        <f aca="false">E41</f>
        <v>Alan McKeon</v>
      </c>
      <c r="D55" s="38" t="str">
        <f aca="false">Q41</f>
        <v>Yes</v>
      </c>
      <c r="E55" s="21" t="n">
        <f aca="false">$K$41+$L$41/12</f>
        <v>16000</v>
      </c>
      <c r="F55" s="21" t="n">
        <f aca="false">$K$41+$L$41/12</f>
        <v>16000</v>
      </c>
      <c r="G55" s="21" t="n">
        <f aca="false">$K$41+$L$41/12</f>
        <v>16000</v>
      </c>
      <c r="H55" s="21" t="n">
        <f aca="false">$K$41+$L$41/12</f>
        <v>16000</v>
      </c>
      <c r="I55" s="21" t="n">
        <f aca="false">$K$41+$L$41/12</f>
        <v>16000</v>
      </c>
      <c r="J55" s="21" t="n">
        <f aca="false">$K$41+$L$41/12</f>
        <v>16000</v>
      </c>
      <c r="K55" s="21" t="n">
        <f aca="false">$K$41+$L$41/12+$M$41+$N$41</f>
        <v>18000</v>
      </c>
      <c r="L55" s="21" t="n">
        <f aca="false">$K$41+$L$41/12+$N$41</f>
        <v>18000</v>
      </c>
      <c r="M55" s="21" t="n">
        <f aca="false">$K$41+$L$41/12+$N$41</f>
        <v>18000</v>
      </c>
      <c r="N55" s="21" t="n">
        <f aca="false">$K$41+$L$41/12+$N$41</f>
        <v>18000</v>
      </c>
      <c r="O55" s="21" t="n">
        <f aca="false">$K$41+$L$41/12+$N$41</f>
        <v>18000</v>
      </c>
      <c r="P55" s="21" t="n">
        <f aca="false">$K$41+$L$41/12+$N$41</f>
        <v>18000</v>
      </c>
      <c r="Q55" s="40" t="n">
        <f aca="false">SUM(E55:P55)</f>
        <v>204000</v>
      </c>
    </row>
    <row r="56" customFormat="false" ht="21.75" hidden="false" customHeight="true" outlineLevel="0" collapsed="false">
      <c r="C56" s="37" t="str">
        <f aca="false">E42</f>
        <v>JJI</v>
      </c>
      <c r="D56" s="38" t="str">
        <f aca="false">Q42</f>
        <v>No</v>
      </c>
      <c r="E56" s="21" t="n">
        <f aca="false">$K$42+$L$42/12</f>
        <v>11000</v>
      </c>
      <c r="F56" s="21" t="n">
        <f aca="false">$K$42+$L$42/12</f>
        <v>11000</v>
      </c>
      <c r="G56" s="21" t="n">
        <f aca="false">$K$42+$L$42/12</f>
        <v>11000</v>
      </c>
      <c r="H56" s="21" t="n">
        <f aca="false">$K$42+$L$42/12</f>
        <v>11000</v>
      </c>
      <c r="I56" s="21" t="n">
        <f aca="false">$K$42+$L$42/12</f>
        <v>11000</v>
      </c>
      <c r="J56" s="21" t="n">
        <f aca="false">$K$42+$L$42/12</f>
        <v>11000</v>
      </c>
      <c r="K56" s="21" t="n">
        <f aca="false">$K$42+$L$42/12+$M$42+$N$42</f>
        <v>11000</v>
      </c>
      <c r="L56" s="21" t="n">
        <f aca="false">$K$42+$L$42/12+$N$42</f>
        <v>11000</v>
      </c>
      <c r="M56" s="21" t="n">
        <f aca="false">$K$42+$L$42/12+$N$42</f>
        <v>11000</v>
      </c>
      <c r="N56" s="21" t="n">
        <f aca="false">$K$42+$L$42/12+$N$42</f>
        <v>11000</v>
      </c>
      <c r="O56" s="21" t="n">
        <f aca="false">$K$42+$L$42/12+$N$42</f>
        <v>11000</v>
      </c>
      <c r="P56" s="21" t="n">
        <f aca="false">$K$42+$L$42/12+$N$42</f>
        <v>11000</v>
      </c>
      <c r="Q56" s="40" t="n">
        <f aca="false">SUM(E56:P56)</f>
        <v>132000</v>
      </c>
    </row>
    <row r="57" customFormat="false" ht="21.75" hidden="false" customHeight="true" outlineLevel="0" collapsed="false">
      <c r="C57" s="37" t="str">
        <f aca="false">E43</f>
        <v>Marcelo Dantas</v>
      </c>
      <c r="D57" s="38" t="str">
        <f aca="false">Q43</f>
        <v>No</v>
      </c>
      <c r="E57" s="21" t="n">
        <f aca="false">$K$43+$L$43/12</f>
        <v>16000</v>
      </c>
      <c r="F57" s="21" t="n">
        <f aca="false">$K$43+$L$43/12</f>
        <v>16000</v>
      </c>
      <c r="G57" s="21" t="n">
        <f aca="false">$K$43+$L$43/12</f>
        <v>16000</v>
      </c>
      <c r="H57" s="21" t="n">
        <f aca="false">$K$43+$L$43/12</f>
        <v>16000</v>
      </c>
      <c r="I57" s="21" t="n">
        <f aca="false">$K$43+$L$43/12</f>
        <v>16000</v>
      </c>
      <c r="J57" s="21" t="n">
        <f aca="false">$K$43+$L$43/12</f>
        <v>16000</v>
      </c>
      <c r="K57" s="21" t="n">
        <f aca="false">$K$43+$L$43/12+$M$43+$N$43</f>
        <v>16000</v>
      </c>
      <c r="L57" s="21" t="n">
        <f aca="false">$K$43+$L$43/12+$N$43</f>
        <v>16000</v>
      </c>
      <c r="M57" s="21" t="n">
        <f aca="false">$K$43+$L$43/12+$N$43</f>
        <v>16000</v>
      </c>
      <c r="N57" s="21" t="n">
        <f aca="false">$K$43+$L$43/12+$N$43</f>
        <v>16000</v>
      </c>
      <c r="O57" s="21" t="n">
        <f aca="false">$K$43+$L$43/12+$N$43</f>
        <v>16000</v>
      </c>
      <c r="P57" s="21" t="n">
        <f aca="false">$K$43+$L$43/12+$N$43</f>
        <v>16000</v>
      </c>
      <c r="Q57" s="40" t="n">
        <f aca="false">SUM(E57:P57)</f>
        <v>192000</v>
      </c>
    </row>
    <row r="58" customFormat="false" ht="21.75" hidden="false" customHeight="true" outlineLevel="0" collapsed="false">
      <c r="C58" s="37" t="str">
        <f aca="false">E44</f>
        <v>Jose Miguel</v>
      </c>
      <c r="D58" s="38" t="str">
        <f aca="false">Q44</f>
        <v>No</v>
      </c>
      <c r="E58" s="21" t="n">
        <f aca="false">$K$44+$L$44/12</f>
        <v>4666.66666666667</v>
      </c>
      <c r="F58" s="21" t="n">
        <f aca="false">$K$44+$L$44/12</f>
        <v>4666.66666666667</v>
      </c>
      <c r="G58" s="21" t="n">
        <f aca="false">$K$44+$L$44/12</f>
        <v>4666.66666666667</v>
      </c>
      <c r="H58" s="21" t="n">
        <f aca="false">$K$44+$L$44/12</f>
        <v>4666.66666666667</v>
      </c>
      <c r="I58" s="21" t="n">
        <f aca="false">$K$44+$L$44/12</f>
        <v>4666.66666666667</v>
      </c>
      <c r="J58" s="21" t="n">
        <f aca="false">$K$44+$L$44/12</f>
        <v>4666.66666666667</v>
      </c>
      <c r="K58" s="21" t="n">
        <f aca="false">$K$44+$L$44/12+$M$44+$N$44</f>
        <v>4666.66666666667</v>
      </c>
      <c r="L58" s="21" t="n">
        <f aca="false">$K$44+$L$44/12+$N$44</f>
        <v>4666.66666666667</v>
      </c>
      <c r="M58" s="21" t="n">
        <f aca="false">$K$44+$L$44/12+$N$44</f>
        <v>4666.66666666667</v>
      </c>
      <c r="N58" s="21" t="n">
        <f aca="false">$K$44+$L$44/12+$N$44</f>
        <v>4666.66666666667</v>
      </c>
      <c r="O58" s="21" t="n">
        <f aca="false">$K$44+$L$44/12+$N$44</f>
        <v>4666.66666666667</v>
      </c>
      <c r="P58" s="21" t="n">
        <f aca="false">$K$44+$L$44/12+$N$44</f>
        <v>4666.66666666667</v>
      </c>
      <c r="Q58" s="40" t="n">
        <f aca="false">SUM(E58:P58)</f>
        <v>56000</v>
      </c>
    </row>
    <row r="59" customFormat="false" ht="21.75" hidden="false" customHeight="true" outlineLevel="0" collapsed="false">
      <c r="C59" s="37" t="str">
        <f aca="false">E45</f>
        <v>TBD — Person to be defined</v>
      </c>
      <c r="D59" s="38" t="str">
        <f aca="false">Q45</f>
        <v>No</v>
      </c>
      <c r="E59" s="21" t="n">
        <f aca="false">$K$45+$L$45/12</f>
        <v>4666.66666666667</v>
      </c>
      <c r="F59" s="21" t="n">
        <f aca="false">$K$45+$L$45/12</f>
        <v>4666.66666666667</v>
      </c>
      <c r="G59" s="21" t="n">
        <f aca="false">$K$45+$L$45/12</f>
        <v>4666.66666666667</v>
      </c>
      <c r="H59" s="21" t="n">
        <f aca="false">$K$45+$L$45/12</f>
        <v>4666.66666666667</v>
      </c>
      <c r="I59" s="21" t="n">
        <f aca="false">$K$45+$L$45/12</f>
        <v>4666.66666666667</v>
      </c>
      <c r="J59" s="21" t="n">
        <f aca="false">$K$45+$L$45/12</f>
        <v>4666.66666666667</v>
      </c>
      <c r="K59" s="21" t="n">
        <f aca="false">$K$45+$L$45/12+$M$45+$N$45</f>
        <v>4666.66666666667</v>
      </c>
      <c r="L59" s="21" t="n">
        <f aca="false">$K$45+$L$45/12+$N$45</f>
        <v>4666.66666666667</v>
      </c>
      <c r="M59" s="21" t="n">
        <f aca="false">$K$45+$L$45/12+$N$45</f>
        <v>4666.66666666667</v>
      </c>
      <c r="N59" s="21" t="n">
        <f aca="false">$K$45+$L$45/12+$N$45</f>
        <v>4666.66666666667</v>
      </c>
      <c r="O59" s="21" t="n">
        <f aca="false">$K$45+$L$45/12+$N$45</f>
        <v>4666.66666666667</v>
      </c>
      <c r="P59" s="21" t="n">
        <f aca="false">$K$45+$L$45/12+$N$45</f>
        <v>4666.66666666667</v>
      </c>
      <c r="Q59" s="40" t="n">
        <f aca="false">SUM(E59:P59)</f>
        <v>56000</v>
      </c>
    </row>
    <row r="60" customFormat="false" ht="21.75" hidden="false" customHeight="true" outlineLevel="0" collapsed="false">
      <c r="C60" s="37" t="str">
        <f aca="false">E46</f>
        <v>Martin Aguero</v>
      </c>
      <c r="D60" s="38" t="str">
        <f aca="false">Q46</f>
        <v>Yes</v>
      </c>
      <c r="E60" s="21" t="n">
        <f aca="false">$K$46+$L$46/12</f>
        <v>15000</v>
      </c>
      <c r="F60" s="21" t="n">
        <f aca="false">$K$46+$L$46/12</f>
        <v>15000</v>
      </c>
      <c r="G60" s="21" t="n">
        <f aca="false">$K$46+$L$46/12</f>
        <v>15000</v>
      </c>
      <c r="H60" s="21" t="n">
        <f aca="false">$K$46+$L$46/12</f>
        <v>15000</v>
      </c>
      <c r="I60" s="21" t="n">
        <f aca="false">$K$46+$L$46/12</f>
        <v>15000</v>
      </c>
      <c r="J60" s="21" t="n">
        <f aca="false">$K$46+$L$46/12</f>
        <v>15000</v>
      </c>
      <c r="K60" s="21" t="n">
        <f aca="false">$K$46+$L$46/12+$M$46+$N$46</f>
        <v>15000</v>
      </c>
      <c r="L60" s="21" t="n">
        <f aca="false">$K$46+$L$46/12+$N$46</f>
        <v>15000</v>
      </c>
      <c r="M60" s="21" t="n">
        <f aca="false">$K$46+$L$46/12+$N$46</f>
        <v>15000</v>
      </c>
      <c r="N60" s="21" t="n">
        <f aca="false">$K$46+$L$46/12+$N$46</f>
        <v>15000</v>
      </c>
      <c r="O60" s="21" t="n">
        <f aca="false">$K$46+$L$46/12+$N$46</f>
        <v>15000</v>
      </c>
      <c r="P60" s="21" t="n">
        <f aca="false">$K$46+$L$46/12+$N$46</f>
        <v>15000</v>
      </c>
      <c r="Q60" s="40" t="n">
        <f aca="false">SUM(E60:P60)</f>
        <v>180000</v>
      </c>
    </row>
    <row r="61" customFormat="false" ht="27.75" hidden="false" customHeight="true" outlineLevel="0" collapsed="false">
      <c r="C61" s="26" t="s">
        <v>125</v>
      </c>
      <c r="D61" s="26"/>
      <c r="E61" s="20" t="n">
        <f aca="false">SUM(E52:E60)</f>
        <v>121333.333333333</v>
      </c>
      <c r="F61" s="21" t="n">
        <f aca="false">SUM(F52:F60)</f>
        <v>121333.333333333</v>
      </c>
      <c r="G61" s="21" t="n">
        <f aca="false">SUM(G52:G60)</f>
        <v>121333.333333333</v>
      </c>
      <c r="H61" s="21" t="n">
        <f aca="false">SUM(H52:H60)</f>
        <v>121333.333333333</v>
      </c>
      <c r="I61" s="21" t="n">
        <f aca="false">SUM(I52:I60)</f>
        <v>121333.333333333</v>
      </c>
      <c r="J61" s="21" t="n">
        <f aca="false">SUM(J52:J60)</f>
        <v>121333.333333333</v>
      </c>
      <c r="K61" s="21" t="n">
        <f aca="false">SUM(K52:K60)</f>
        <v>199833.333333333</v>
      </c>
      <c r="L61" s="21" t="n">
        <f aca="false">SUM(L52:L60)</f>
        <v>123333.333333333</v>
      </c>
      <c r="M61" s="21" t="n">
        <f aca="false">SUM(M52:M60)</f>
        <v>123333.333333333</v>
      </c>
      <c r="N61" s="21" t="n">
        <f aca="false">SUM(N52:N60)</f>
        <v>123333.333333333</v>
      </c>
      <c r="O61" s="21" t="n">
        <f aca="false">SUM(O52:O60)</f>
        <v>123333.333333333</v>
      </c>
      <c r="P61" s="21" t="n">
        <f aca="false">SUM(P52:P60)</f>
        <v>123333.333333333</v>
      </c>
      <c r="Q61" s="22" t="n">
        <f aca="false">SUM(Q52:Q60)</f>
        <v>1544500</v>
      </c>
    </row>
    <row r="64" customFormat="false" ht="42" hidden="false" customHeight="true" outlineLevel="0" collapsed="false">
      <c r="C64" s="4" t="s">
        <v>126</v>
      </c>
      <c r="D64" s="4"/>
      <c r="E64" s="4"/>
      <c r="F64" s="4"/>
      <c r="G64" s="4"/>
      <c r="H64" s="4"/>
      <c r="I64" s="4"/>
      <c r="J64" s="4"/>
      <c r="K64" s="4"/>
      <c r="L64" s="4"/>
      <c r="M64" s="4"/>
      <c r="N64" s="4"/>
      <c r="O64" s="4"/>
      <c r="P64" s="4"/>
      <c r="Q64" s="4"/>
      <c r="R64" s="4"/>
    </row>
    <row r="65" customFormat="false" ht="15" hidden="false" customHeight="false" outlineLevel="0" collapsed="false">
      <c r="C65" s="4"/>
      <c r="D65" s="4"/>
      <c r="E65" s="4"/>
      <c r="F65" s="4"/>
      <c r="G65" s="4"/>
      <c r="H65" s="4"/>
      <c r="I65" s="4"/>
      <c r="J65" s="4"/>
      <c r="K65" s="4"/>
      <c r="L65" s="4"/>
      <c r="M65" s="4"/>
      <c r="N65" s="4"/>
      <c r="O65" s="4"/>
      <c r="P65" s="4"/>
      <c r="Q65" s="4"/>
      <c r="R65" s="4"/>
    </row>
    <row r="66" customFormat="false" ht="15" hidden="false" customHeight="false" outlineLevel="0" collapsed="false">
      <c r="C66" s="4"/>
      <c r="D66" s="4"/>
      <c r="E66" s="4"/>
      <c r="F66" s="4"/>
      <c r="G66" s="4"/>
      <c r="H66" s="4"/>
      <c r="I66" s="4"/>
      <c r="J66" s="4"/>
      <c r="K66" s="4"/>
      <c r="L66" s="4"/>
      <c r="M66" s="4"/>
      <c r="N66" s="4"/>
      <c r="O66" s="4"/>
      <c r="P66" s="4"/>
      <c r="Q66" s="4"/>
      <c r="R66" s="4"/>
    </row>
  </sheetData>
  <autoFilter ref="C51:Q60"/>
  <mergeCells count="12">
    <mergeCell ref="C3:R3"/>
    <mergeCell ref="C5:R5"/>
    <mergeCell ref="C6:R6"/>
    <mergeCell ref="C8:R9"/>
    <mergeCell ref="C11:G11"/>
    <mergeCell ref="C21:P21"/>
    <mergeCell ref="C28:E28"/>
    <mergeCell ref="C36:R36"/>
    <mergeCell ref="C47:I47"/>
    <mergeCell ref="C50:Q50"/>
    <mergeCell ref="C61:D61"/>
    <mergeCell ref="C64:R66"/>
  </mergeCells>
  <conditionalFormatting sqref="Q52:Q60">
    <cfRule type="dataBar" priority="2">
      <dataBar showValue="1" minLength="10" maxLength="90">
        <cfvo type="min" val="0"/>
        <cfvo type="max" val="0"/>
        <color rgb="FF135B44"/>
      </dataBar>
      <extLst>
        <ext xmlns:x14="http://schemas.microsoft.com/office/spreadsheetml/2009/9/main" uri="{B025F937-C7B1-47D3-B67F-A62EFF666E3E}">
          <x14:id>{97702656-72D0-4A28-9B8C-8765D0C77548}</x14:id>
        </ext>
      </extLst>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Manpower Cost Summary | Page &amp;P of &amp;N</oddFooter>
  </headerFooter>
  <rowBreaks count="1" manualBreakCount="1">
    <brk id="49" man="true" max="16383" min="0"/>
  </rowBreaks>
  <drawing r:id="rId2"/>
  <legacyDrawing r:id="rId3"/>
  <extLst>
    <ext xmlns:x14="http://schemas.microsoft.com/office/spreadsheetml/2009/9/main" uri="{78C0D931-6437-407d-A8EE-F0AAD7539E65}">
      <x14:conditionalFormattings>
        <x14:conditionalFormatting xmlns:xm="http://schemas.microsoft.com/office/excel/2006/main">
          <x14:cfRule type="dataBar" id="{97702656-72D0-4A28-9B8C-8765D0C77548}">
            <x14:dataBar minLength="10" maxLength="90" axisPosition="none" gradient="true">
              <x14:cfvo type="min"/>
              <x14:cfvo type="max"/>
              <x14:negativeFillColor rgb="FF135B44"/>
              <x14:axisColor rgb="FF000000"/>
            </x14:dataBar>
          </x14:cfRule>
          <xm:sqref>Q52:Q60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2026-09-07T21:08:48Z</dcterms:created>
  <dc:creator>openpyxl</dc:creator>
  <dc:description/>
  <dc:language>en-US</dc:language>
  <cp:lastModifiedBy/>
  <dcterms:modified xsi:type="dcterms:W3CDTF">2026-09-07T21:08:48Z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