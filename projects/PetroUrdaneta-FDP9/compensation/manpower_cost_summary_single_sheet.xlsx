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Manpower Cost Summary" sheetId="1" state="visible" r:id="rId3"/>
  </sheets>
  <definedNames>
    <definedName function="false" hidden="false" localSheetId="0" name="_xlnm.Print_Area" vbProcedure="false">'Manpower Cost Summary'!$B$2:$O$36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8" authorId="0">
      <text>
        <r>
          <rPr>
            <sz val="10"/>
            <rFont val="Arial"/>
            <family val="2"/>
          </rPr>
          <t xml:space="preserve">Source: management instruction in this task through 7–8 September 2026. Tax, payroll, labor-law and residence treatment require legal and tax review before implementation.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C21" authorId="0">
      <text>
        <r>
          <rPr>
            <sz val="10"/>
            <rFont val="Arial"/>
            <family val="2"/>
          </rPr>
          <t xml:space="preserve">Source: user-provided annual compensation table, reviewed 7–8 September 2026; field: Person.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C22" authorId="0">
      <text>
        <r>
          <rPr>
            <sz val="10"/>
            <rFont val="Arial"/>
            <family val="2"/>
          </rPr>
          <t xml:space="preserve">Source: user-provided annual compensation table, reviewed 7–8 September 2026; field: Person. Initial PU secondee. PU pays modeled cost; one-time M7 transition package applies.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C23" authorId="0">
      <text>
        <r>
          <rPr>
            <sz val="10"/>
            <rFont val="Arial"/>
            <family val="2"/>
          </rPr>
          <t xml:space="preserve">Source: user-provided annual compensation table, reviewed 7–8 September 2026; field: Person.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C24" authorId="0">
      <text>
        <r>
          <rPr>
            <sz val="10"/>
            <rFont val="Arial"/>
            <family val="2"/>
          </rPr>
          <t xml:space="preserve">Source: user-provided annual compensation table, reviewed 7–8 September 2026; field: Person. Initial PU secondee. Approved family relocation to Maracaibo; $2,000/month housing from M7 and home leave stated as a non-costed benefit.</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C25" authorId="0">
      <text>
        <r>
          <rPr>
            <sz val="10"/>
            <rFont val="Arial"/>
            <family val="2"/>
          </rPr>
          <t xml:space="preserve">Source: user-provided annual compensation table, reviewed 7–8 September 2026; field: Person. Remote designation and local benefit treatment remain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C26" authorId="0">
      <text>
        <r>
          <rPr>
            <sz val="10"/>
            <rFont val="Arial"/>
            <family val="2"/>
          </rPr>
          <t xml:space="preserve">Source: user-provided annual compensation table, reviewed 7–8 September 2026; field: Person. Rotation is confirmed; expatriate contract treatment remains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C27" authorId="0">
      <text>
        <r>
          <rPr>
            <sz val="10"/>
            <rFont val="Arial"/>
            <family val="2"/>
          </rPr>
          <t xml:space="preserve">Source: user-provided annual compensation table, reviewed 7–8 September 2026; field: Person. Local / staff-house approach; no cash housing allowance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5</xdr:row>
                <xdr:rowOff>13</xdr:rowOff>
              </xdr:to>
            </anchor>
          </commentPr>
        </mc:Choice>
        <mc:Fallback/>
      </mc:AlternateContent>
    </comment>
    <comment ref="C28" authorId="0">
      <text>
        <r>
          <rPr>
            <sz val="10"/>
            <rFont val="Arial"/>
            <family val="2"/>
          </rPr>
          <t xml:space="preserve">Source: user-provided annual compensation table, reviewed 7–8 September 2026; field: Person. Open role; salary is a budget placeholder. Contract and benefits remain TBD.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C29" authorId="0">
      <text>
        <r>
          <rPr>
            <sz val="10"/>
            <rFont val="Arial"/>
            <family val="2"/>
          </rPr>
          <t xml:space="preserve">Source: user-provided annual compensation table, reviewed 7–8 September 2026; field: Person. Already assigned to the project as a local secondee. PU pays salary; 30 paid vacation days apply.</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D21" authorId="0">
      <text>
        <r>
          <rPr>
            <sz val="10"/>
            <rFont val="Arial"/>
            <family val="2"/>
          </rPr>
          <t xml:space="preserve">Source: user-provided annual compensation table, reviewed 7–8 September 2026; field: Position.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D22" authorId="0">
      <text>
        <r>
          <rPr>
            <sz val="10"/>
            <rFont val="Arial"/>
            <family val="2"/>
          </rPr>
          <t xml:space="preserve">Source: user-provided annual compensation table, reviewed 7–8 September 2026; field: Position. Initial PU secondee. PU pays modeled cost; one-time M7 transition package applies.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D23" authorId="0">
      <text>
        <r>
          <rPr>
            <sz val="10"/>
            <rFont val="Arial"/>
            <family val="2"/>
          </rPr>
          <t xml:space="preserve">Source: user-provided annual compensation table, reviewed 7–8 September 2026; field: Position.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D24" authorId="0">
      <text>
        <r>
          <rPr>
            <sz val="10"/>
            <rFont val="Arial"/>
            <family val="2"/>
          </rPr>
          <t xml:space="preserve">Source: user-provided annual compensation table, reviewed 7–8 September 2026; field: Position. Initial PU secondee. Approved family relocation to Maracaibo; $2,000/month housing from M7 and home leave stated as a non-costed benefit.</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D25" authorId="0">
      <text>
        <r>
          <rPr>
            <sz val="10"/>
            <rFont val="Arial"/>
            <family val="2"/>
          </rPr>
          <t xml:space="preserve">Source: user-provided annual compensation table, reviewed 7–8 September 2026; field: Position. Remote designation and local benefit treatment remain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D26" authorId="0">
      <text>
        <r>
          <rPr>
            <sz val="10"/>
            <rFont val="Arial"/>
            <family val="2"/>
          </rPr>
          <t xml:space="preserve">Source: user-provided annual compensation table, reviewed 7–8 September 2026; field: Position. Rotation is confirmed; expatriate contract treatment remains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D27" authorId="0">
      <text>
        <r>
          <rPr>
            <sz val="10"/>
            <rFont val="Arial"/>
            <family val="2"/>
          </rPr>
          <t xml:space="preserve">Source: user-provided annual compensation table, reviewed 7–8 September 2026; field: Position. Local / staff-house approach; no cash housing allowance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5</xdr:row>
                <xdr:rowOff>13</xdr:rowOff>
              </xdr:to>
            </anchor>
          </commentPr>
        </mc:Choice>
        <mc:Fallback/>
      </mc:AlternateContent>
    </comment>
    <comment ref="D28" authorId="0">
      <text>
        <r>
          <rPr>
            <sz val="10"/>
            <rFont val="Arial"/>
            <family val="2"/>
          </rPr>
          <t xml:space="preserve">Source: user-provided annual compensation table, reviewed 7–8 September 2026; field: Position. Open role; salary is a budget placeholder. Contract and benefits remain TBD.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D29" authorId="0">
      <text>
        <r>
          <rPr>
            <sz val="10"/>
            <rFont val="Arial"/>
            <family val="2"/>
          </rPr>
          <t xml:space="preserve">Source: user-provided annual compensation table, reviewed 7–8 September 2026; field: Position. Already assigned to the project as a local secondee. PU pays salary; 30 paid vacation days apply.</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E21" authorId="0">
      <text>
        <r>
          <rPr>
            <sz val="10"/>
            <rFont val="Arial"/>
            <family val="2"/>
          </rPr>
          <t xml:space="preserve">Source: management instruction in this task through 7–8 September 2026. M1–M6 contract: Repatriate.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E22" authorId="0">
      <text>
        <r>
          <rPr>
            <sz val="10"/>
            <rFont val="Arial"/>
            <family val="2"/>
          </rPr>
          <t xml:space="preserve">Source: management instruction in this task through 7–8 September 2026. M1–M6 contract: Repatriate. Initial PU secondee. PU pays modeled cost; one-time M7 transition package applies.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E23" authorId="0">
      <text>
        <r>
          <rPr>
            <sz val="10"/>
            <rFont val="Arial"/>
            <family val="2"/>
          </rPr>
          <t xml:space="preserve">Source: management instruction in this task through 7–8 September 2026. M1–M6 contract: Repatriate.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E24" authorId="0">
      <text>
        <r>
          <rPr>
            <sz val="10"/>
            <rFont val="Arial"/>
            <family val="2"/>
          </rPr>
          <t xml:space="preserve">Source: management instruction in this task through 7–8 September 2026. M1–M6 contract: Expat. Initial PU secondee. Approved family relocation to Maracaibo; $2,000/month housing from M7 and home leave stated as a non-costed benefit.</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E25" authorId="0">
      <text>
        <r>
          <rPr>
            <sz val="10"/>
            <rFont val="Arial"/>
            <family val="2"/>
          </rPr>
          <t xml:space="preserve">Source: management instruction in this task through 7–8 September 2026. M1–M6 contract: Local. Remote designation and local benefit treatment remain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E26" authorId="0">
      <text>
        <r>
          <rPr>
            <sz val="10"/>
            <rFont val="Arial"/>
            <family val="2"/>
          </rPr>
          <t xml:space="preserve">Source: management instruction in this task through 7–8 September 2026. M1–M6 contract: Expat. Rotation is confirmed; expatriate contract treatment remains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E27" authorId="0">
      <text>
        <r>
          <rPr>
            <sz val="10"/>
            <rFont val="Arial"/>
            <family val="2"/>
          </rPr>
          <t xml:space="preserve">Source: management instruction in this task through 7–8 September 2026. M1–M6 contract: Local. Local / staff-house approach; no cash housing allowance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E28" authorId="0">
      <text>
        <r>
          <rPr>
            <sz val="10"/>
            <rFont val="Arial"/>
            <family val="2"/>
          </rPr>
          <t xml:space="preserve">Source: management instruction in this task through 7–8 September 2026. M1–M6 contract: TBD. Open role; salary is a budget placeholder. Contract and benefits remain TBD.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E29" authorId="0">
      <text>
        <r>
          <rPr>
            <sz val="10"/>
            <rFont val="Arial"/>
            <family val="2"/>
          </rPr>
          <t xml:space="preserve">Source: management instruction in this task through 7–8 September 2026. M1–M6 contract: Local Secondee. Already assigned to the project as a local secondee. PU pays salary; 30 paid vacation days apply.</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F21" authorId="0">
      <text>
        <r>
          <rPr>
            <sz val="10"/>
            <rFont val="Arial"/>
            <family val="2"/>
          </rPr>
          <t xml:space="preserve">Source: management instruction in this task through 7–8 September 2026. M7+ basis: Local — Venezuela.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F22" authorId="0">
      <text>
        <r>
          <rPr>
            <sz val="10"/>
            <rFont val="Arial"/>
            <family val="2"/>
          </rPr>
          <t xml:space="preserve">Source: management instruction in this task through 7–8 September 2026. M7+ basis: Local — Venezuela. Initial PU secondee. PU pays modeled cost; one-time M7 transition package applies.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F23" authorId="0">
      <text>
        <r>
          <rPr>
            <sz val="10"/>
            <rFont val="Arial"/>
            <family val="2"/>
          </rPr>
          <t xml:space="preserve">Source: management instruction in this task through 7–8 September 2026. M7+ basis: Local — Venezuela.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F24" authorId="0">
      <text>
        <r>
          <rPr>
            <sz val="10"/>
            <rFont val="Arial"/>
            <family val="2"/>
          </rPr>
          <t xml:space="preserve">Source: management instruction in this task through 7–8 September 2026. M7+ basis: Expat. Initial PU secondee. Approved family relocation to Maracaibo; $2,000/month housing from M7 and home leave stated as a non-costed benefit.</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33</xdr:rowOff>
              </xdr:to>
            </anchor>
          </commentPr>
        </mc:Choice>
        <mc:Fallback/>
      </mc:AlternateContent>
    </comment>
    <comment ref="F25" authorId="0">
      <text>
        <r>
          <rPr>
            <sz val="10"/>
            <rFont val="Arial"/>
            <family val="2"/>
          </rPr>
          <t xml:space="preserve">Source: management instruction in this task through 7–8 September 2026. M7+ basis: Local. Remote designation and local benefit treatment remain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F26" authorId="0">
      <text>
        <r>
          <rPr>
            <sz val="10"/>
            <rFont val="Arial"/>
            <family val="2"/>
          </rPr>
          <t xml:space="preserve">Source: management instruction in this task through 7–8 September 2026. M7+ basis: Expat. Rotation is confirmed; expatriate contract treatment remains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F27" authorId="0">
      <text>
        <r>
          <rPr>
            <sz val="10"/>
            <rFont val="Arial"/>
            <family val="2"/>
          </rPr>
          <t xml:space="preserve">Source: management instruction in this task through 7–8 September 2026. M7+ basis: Local. Local / staff-house approach; no cash housing allowance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5</xdr:row>
                <xdr:rowOff>13</xdr:rowOff>
              </xdr:to>
            </anchor>
          </commentPr>
        </mc:Choice>
        <mc:Fallback/>
      </mc:AlternateContent>
    </comment>
    <comment ref="F28" authorId="0">
      <text>
        <r>
          <rPr>
            <sz val="10"/>
            <rFont val="Arial"/>
            <family val="2"/>
          </rPr>
          <t xml:space="preserve">Source: management instruction in this task through 7–8 September 2026. M7+ basis: TBD. Open role; salary is a budget placeholder. Contract and benefits remain TBD.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F29" authorId="0">
      <text>
        <r>
          <rPr>
            <sz val="10"/>
            <rFont val="Arial"/>
            <family val="2"/>
          </rPr>
          <t xml:space="preserve">Source: management instruction in this task through 7–8 September 2026. M7+ basis: Local. Already assigned to the project as a local secondee. PU pays salary; 30 paid vacation days apply.</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G21"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2"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3"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4"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5"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6"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7"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8"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G29" authorId="0">
      <text>
        <r>
          <rPr>
            <sz val="10"/>
            <rFont val="Arial"/>
            <family val="2"/>
          </rPr>
          <t xml:space="preserve">Source: management instruction in this task through 7–8 September 2026. Working assumption: PU reimbursement equals 60% of the relevant secondee salary only. Barbara must confirm eligibility, documentation requirements and any reimbursement cap.</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1"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2"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3"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4"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5"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6"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7"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8"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H29" authorId="0">
      <text>
        <r>
          <rPr>
            <sz val="10"/>
            <rFont val="Arial"/>
            <family val="2"/>
          </rPr>
          <t xml:space="preserve">Source: management instruction in this task through 7–8 September 2026. M1–M6 rotation assumption: 21 days on / 14 days off. Two ticket legs per 35-day cycle, or 1.71 tickets per month. Martin Aguero is local and has no rotation ticket allowance.</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I12" authorId="0">
      <text>
        <r>
          <rPr>
            <sz val="10"/>
            <rFont val="Arial"/>
            <family val="2"/>
          </rPr>
          <t xml:space="preserve">Source: management instruction in this task through 7–8 September 2026. Health-care scope and pricing are pending confirmation from Airswift and are not included in the model.</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I21" authorId="0">
      <text>
        <r>
          <rPr>
            <sz val="10"/>
            <rFont val="Arial"/>
            <family val="2"/>
          </rPr>
          <t xml:space="preserve">Source: user-provided annual compensation table, reviewed 7–8 September 2026; field: Base Salary (Annual).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I22" authorId="0">
      <text>
        <r>
          <rPr>
            <sz val="10"/>
            <rFont val="Arial"/>
            <family val="2"/>
          </rPr>
          <t xml:space="preserve">Source: user-provided annual compensation table, reviewed 7–8 September 2026; field: Base Salary (Annual). Initial PU secondee. PU pays modeled cost; one-time M7 transition package applies.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I23" authorId="0">
      <text>
        <r>
          <rPr>
            <sz val="10"/>
            <rFont val="Arial"/>
            <family val="2"/>
          </rPr>
          <t xml:space="preserve">Source: user-provided annual compensation table, reviewed 7–8 September 2026; field: Base Salary (Annual). One-time M7 transition package. Origin-country employee tax assumption; no company gross-up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18</xdr:rowOff>
              </xdr:to>
            </anchor>
          </commentPr>
        </mc:Choice>
        <mc:Fallback/>
      </mc:AlternateContent>
    </comment>
    <comment ref="I24" authorId="0">
      <text>
        <r>
          <rPr>
            <sz val="10"/>
            <rFont val="Arial"/>
            <family val="2"/>
          </rPr>
          <t xml:space="preserve">Source: user-provided annual compensation table, reviewed 7–8 September 2026; field: Base Salary (Annual). Initial PU secondee. Approved family relocation to Maracaibo; $2,000/month housing from M7 and home leave stated as a non-costed benefit.</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48</xdr:rowOff>
              </xdr:to>
            </anchor>
          </commentPr>
        </mc:Choice>
        <mc:Fallback/>
      </mc:AlternateContent>
    </comment>
    <comment ref="I25" authorId="0">
      <text>
        <r>
          <rPr>
            <sz val="10"/>
            <rFont val="Arial"/>
            <family val="2"/>
          </rPr>
          <t xml:space="preserve">Source: user-provided annual compensation table, reviewed 7–8 September 2026; field: Base Salary (Annual). Remote designation and local benefit treatment remain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I26" authorId="0">
      <text>
        <r>
          <rPr>
            <sz val="10"/>
            <rFont val="Arial"/>
            <family val="2"/>
          </rPr>
          <t xml:space="preserve">Source: user-provided annual compensation table, reviewed 7–8 September 2026; field: Base Salary (Annual). Rotation is confirmed; expatriate contract treatment remains subject to confirmation.</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I27" authorId="0">
      <text>
        <r>
          <rPr>
            <sz val="10"/>
            <rFont val="Arial"/>
            <family val="2"/>
          </rPr>
          <t xml:space="preserve">Source: user-provided annual compensation table, reviewed 7–8 September 2026; field: Base Salary (Annual). Local / staff-house approach; no cash housing allowance modeled.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I28" authorId="0">
      <text>
        <r>
          <rPr>
            <sz val="10"/>
            <rFont val="Arial"/>
            <family val="2"/>
          </rPr>
          <t xml:space="preserve">Source: user-provided annual compensation table, reviewed 7–8 September 2026; field: Base Salary (Annual). Open role; salary is a budget placeholder. Contract and benefits remain TBD.</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I29" authorId="0">
      <text>
        <r>
          <rPr>
            <sz val="10"/>
            <rFont val="Arial"/>
            <family val="2"/>
          </rPr>
          <t xml:space="preserve">Source: user-provided annual compensation table, reviewed 7–8 September 2026; field: Base Salary (Annual). Already assigned to the project as a local secondee. PU pays salary; 30 paid vacation days apply.</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7</xdr:row>
                <xdr:rowOff>3</xdr:rowOff>
              </xdr:to>
            </anchor>
          </commentPr>
        </mc:Choice>
        <mc:Fallback/>
      </mc:AlternateContent>
    </comment>
    <comment ref="J21"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2"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3"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4"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5"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6"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7"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8"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J29" authorId="0">
      <text>
        <r>
          <rPr>
            <sz val="10"/>
            <rFont val="Arial"/>
            <family val="2"/>
          </rPr>
          <t xml:space="preserve">Source: management instruction in this task through 7–8 September 2026. One-time M7 repatriation / localization package equals 1.5 times monthly salary for repatriates.</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1"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2"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3"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4"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5"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6"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7"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8"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 ref="K29" authorId="0">
      <text>
        <r>
          <rPr>
            <sz val="10"/>
            <rFont val="Arial"/>
            <family val="2"/>
          </rPr>
          <t xml:space="preserve">Source: management instruction in this task through 7–8 September 2026. Alan McKeon receives $2,000 per month housing from M7 due to family relocation to Maracaibo.</t>
        </r>
      </text>
      <mc:AlternateContent>
        <mc:Choice Requires="v2">
          <commentPr autoFill="true" autoScale="false" colHidden="false" locked="false" rowHidden="false" textHAlign="justify" textVAlign="top">
            <anchor moveWithCells="false" sizeWithCells="false">
              <xdr:from>
                <xdr:col>2</xdr:col>
                <xdr:colOff>29</xdr:colOff>
                <xdr:row>0</xdr:row>
                <xdr:rowOff>2</xdr:rowOff>
              </xdr:from>
              <xdr:to>
                <xdr:col>3</xdr:col>
                <xdr:colOff>-29</xdr:colOff>
                <xdr:row>6</xdr:row>
                <xdr:rowOff>8</xdr:rowOff>
              </xdr:to>
            </anchor>
          </commentPr>
        </mc:Choice>
        <mc:Fallback/>
      </mc:AlternateContent>
    </comment>
  </commentList>
</comments>
</file>

<file path=xl/sharedStrings.xml><?xml version="1.0" encoding="utf-8"?>
<sst xmlns="http://schemas.openxmlformats.org/spreadsheetml/2006/main" count="77" uniqueCount="58">
  <si>
    <t xml:space="preserve">Petrourdaneta — Manpower Cost Summary</t>
  </si>
  <si>
    <t xml:space="preserve">Single-sheet executive model | Overall monthly and annual manpower cost | COO excluded | USD</t>
  </si>
  <si>
    <t xml:space="preserve">Blue = source input | Black = formula | Health-care cost excluded pending Airswift confirmation</t>
  </si>
  <si>
    <t xml:space="preserve">BIG NOTE — Alexander Stulme, Alan McKeon and Martin Aguero are secondees. The model deducts an indicative 60% PU salary-share reimbursement only, pending Barbara's confirmation of eligibility and any cap. Martin is already assigned to the project as a local secondee. Repatriates receive the one-time transition package in M7 and then become local. Alan remains the only expat and receives $2,000/month housing from M7.</t>
  </si>
  <si>
    <t xml:space="preserve">OVERALL MANPOWER COST</t>
  </si>
  <si>
    <t xml:space="preserve">AIRSWHIFT ACTION — HEALTH CARE AND ROTATION</t>
  </si>
  <si>
    <t xml:space="preserve">Metric</t>
  </si>
  <si>
    <t xml:space="preserve">M1–M6 / Month</t>
  </si>
  <si>
    <t xml:space="preserve">M7</t>
  </si>
  <si>
    <t xml:space="preserve">M8–M12 / Month</t>
  </si>
  <si>
    <t xml:space="preserve">Year 1</t>
  </si>
  <si>
    <t xml:space="preserve">Health care is excluded from all costs in this model. Airswift should confirm the applicable medical coverage, eligibility, insurer and price before a separate health-care cost is approved and added. For M1–M6, the eight transition roles are assumed to work 21 days on / 14 days off: 1.71 tickets per person per month, or 13.71 tickets per month in total. Ticket costs are excluded pending Airswift confirmation. Barbara must confirm the 60% secondee salary-share reimbursement and any cap.</t>
  </si>
  <si>
    <t xml:space="preserve">Gross manpower cost</t>
  </si>
  <si>
    <t xml:space="preserve">Less: PU salary share @60%</t>
  </si>
  <si>
    <t xml:space="preserve">NET manpower cost</t>
  </si>
  <si>
    <t xml:space="preserve">PERSONNEL COST, CONTRACT, ROTATION AND BENEFIT SUMMARY</t>
  </si>
  <si>
    <t xml:space="preserve">Person</t>
  </si>
  <si>
    <t xml:space="preserve">Position</t>
  </si>
  <si>
    <t xml:space="preserve">M1–M6 Contract</t>
  </si>
  <si>
    <t xml:space="preserve">M7+ Basis</t>
  </si>
  <si>
    <t xml:space="preserve">PU Salary Share</t>
  </si>
  <si>
    <t xml:space="preserve">Tickets / Mo M1–M6</t>
  </si>
  <si>
    <t xml:space="preserve">Annual Salary</t>
  </si>
  <si>
    <t xml:space="preserve">M7 Package</t>
  </si>
  <si>
    <t xml:space="preserve">Housing / Month</t>
  </si>
  <si>
    <t xml:space="preserve">M1–M6 / Mo</t>
  </si>
  <si>
    <t xml:space="preserve">M7 Cost</t>
  </si>
  <si>
    <t xml:space="preserve">M8–M12 / Mo</t>
  </si>
  <si>
    <t xml:space="preserve">Year 1 Cost</t>
  </si>
  <si>
    <t xml:space="preserve">Juan Conde</t>
  </si>
  <si>
    <t xml:space="preserve">EPCM &amp; Engineering Manager</t>
  </si>
  <si>
    <t xml:space="preserve">Repatriate</t>
  </si>
  <si>
    <t xml:space="preserve">Local — Venezuela</t>
  </si>
  <si>
    <t xml:space="preserve">—</t>
  </si>
  <si>
    <t xml:space="preserve">Alexander Stulme</t>
  </si>
  <si>
    <t xml:space="preserve">Drilling &amp; Well Services Manager</t>
  </si>
  <si>
    <t xml:space="preserve">60%</t>
  </si>
  <si>
    <t xml:space="preserve">Félix Valderrama</t>
  </si>
  <si>
    <t xml:space="preserve">Operations &amp; Maintenance Manager</t>
  </si>
  <si>
    <t xml:space="preserve">Alan McKeon</t>
  </si>
  <si>
    <t xml:space="preserve">Technical Manager (Geosciences)</t>
  </si>
  <si>
    <t xml:space="preserve">Expat</t>
  </si>
  <si>
    <t xml:space="preserve">JJI</t>
  </si>
  <si>
    <t xml:space="preserve">Reservoir Engineer</t>
  </si>
  <si>
    <t xml:space="preserve">Local</t>
  </si>
  <si>
    <t xml:space="preserve">Marcelo Dantas</t>
  </si>
  <si>
    <t xml:space="preserve">Rig Company Man</t>
  </si>
  <si>
    <t xml:space="preserve">Jose Miguel</t>
  </si>
  <si>
    <t xml:space="preserve">Planning &amp; PMO</t>
  </si>
  <si>
    <t xml:space="preserve">TBD — Person to be defined</t>
  </si>
  <si>
    <t xml:space="preserve">Operations Support</t>
  </si>
  <si>
    <t xml:space="preserve">TBD</t>
  </si>
  <si>
    <t xml:space="preserve">Martin Aguero</t>
  </si>
  <si>
    <t xml:space="preserve">Infrastructure Manager</t>
  </si>
  <si>
    <t xml:space="preserve">Local Secondee</t>
  </si>
  <si>
    <t xml:space="preserve">TOTAL GROSS MANPOWER COST</t>
  </si>
  <si>
    <t xml:space="preserve">REFERENCES AND MODEL SCOPE</t>
  </si>
  <si>
    <t xml:space="preserve">References: user-provided annual compensation table reviewed 7–8 September 2026, and management instructions in this task on contract type, benefits, PU secondments and cost responsibility. Health care and ticket costs are excluded pending Airswift confirmation of coverage, price and booking scope. The M1–M6 ticket plan assumes 21 days on / 14 days off and 1.71 tickets per transition role per month. Net cost reflects an indicative 60% reimbursement of relevant secondee base salaries only; Barbara must confirm the entitlement and any cap. This is a management-planning cost model; tax gross-up, statutory contributions, stock options and future bonus plans require separate approval and specialist review.</t>
  </si>
</sst>
</file>

<file path=xl/styles.xml><?xml version="1.0" encoding="utf-8"?>
<styleSheet xmlns="http://schemas.openxmlformats.org/spreadsheetml/2006/main">
  <numFmts count="4">
    <numFmt numFmtId="164" formatCode="General"/>
    <numFmt numFmtId="165" formatCode="\$#,##0.0;[RED]&quot;($&quot;#,##0.0\);\-"/>
    <numFmt numFmtId="166" formatCode="#,##0.0;[RED]&quot;($&quot;#,##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i val="true"/>
      <sz val="9"/>
      <color rgb="FF666666"/>
      <name val="Arial"/>
      <family val="0"/>
      <charset val="1"/>
    </font>
    <font>
      <b val="true"/>
      <sz val="10"/>
      <color rgb="FFC00000"/>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name val="Arial"/>
      <family val="2"/>
    </font>
  </fonts>
  <fills count="5">
    <fill>
      <patternFill patternType="none"/>
    </fill>
    <fill>
      <patternFill patternType="gray125"/>
    </fill>
    <fill>
      <patternFill patternType="solid">
        <fgColor rgb="FF135B44"/>
        <bgColor rgb="FF333333"/>
      </patternFill>
    </fill>
    <fill>
      <patternFill patternType="solid">
        <fgColor rgb="FFCFE9E0"/>
        <bgColor rgb="FFCCFFFF"/>
      </patternFill>
    </fill>
    <fill>
      <patternFill patternType="solid">
        <fgColor rgb="FFFFF3E0"/>
        <bgColor rgb="FFFFFFFF"/>
      </patternFill>
    </fill>
  </fills>
  <borders count="5">
    <border diagonalUp="false" diagonalDown="false">
      <left/>
      <right/>
      <top/>
      <bottom/>
      <diagonal/>
    </border>
    <border diagonalUp="false" diagonalDown="false">
      <left style="thin">
        <color rgb="FFB7B7B7"/>
      </left>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 diagonalUp="false" diagonalDown="false">
      <left/>
      <right/>
      <top style="medium"/>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8" fillId="3" borderId="3"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66" fontId="9" fillId="0" borderId="3" xfId="0" applyFont="true" applyBorder="true" applyAlignment="true" applyProtection="false">
      <alignment horizontal="right" vertical="center"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6" fontId="9" fillId="0" borderId="4" xfId="0" applyFont="true" applyBorder="tru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65" fontId="10" fillId="0" borderId="2" xfId="0" applyFont="true" applyBorder="true" applyAlignment="true" applyProtection="false">
      <alignment horizontal="right" vertical="center" textRotation="0" wrapText="false" indent="0" shrinkToFit="false"/>
      <protection locked="true" hidden="false"/>
    </xf>
    <xf numFmtId="165" fontId="9" fillId="0" borderId="3" xfId="0" applyFont="true" applyBorder="true" applyAlignment="true" applyProtection="false">
      <alignment horizontal="right" vertical="center" textRotation="0" wrapText="false" indent="0" shrinkToFit="false"/>
      <protection locked="true" hidden="false"/>
    </xf>
    <xf numFmtId="166" fontId="10" fillId="0" borderId="2"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6" fontId="9" fillId="0" borderId="3"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3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FE9E0"/>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35B4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3:O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9" topLeftCell="C20" activePane="bottomRight" state="frozen"/>
      <selection pane="topLeft" activeCell="A1" activeCellId="0" sqref="A1"/>
      <selection pane="topRight" activeCell="C1" activeCellId="0" sqref="C1"/>
      <selection pane="bottomLeft" activeCell="A20" activeCellId="0" sqref="A20"/>
      <selection pane="bottomRight" activeCell="A1" activeCellId="0" sqref="A1"/>
    </sheetView>
  </sheetViews>
  <sheetFormatPr defaultColWidth="8.59765625" defaultRowHeight="15" zeroHeight="false" outlineLevelRow="0" outlineLevelCol="0"/>
  <cols>
    <col collapsed="false" customWidth="true" hidden="false" outlineLevel="0" max="2" min="1" style="0" width="3"/>
    <col collapsed="false" customWidth="true" hidden="false" outlineLevel="0" max="3" min="3" style="0" width="24"/>
    <col collapsed="false" customWidth="true" hidden="false" outlineLevel="0" max="4" min="4" style="0" width="30"/>
    <col collapsed="false" customWidth="true" hidden="false" outlineLevel="0" max="5" min="5" style="0" width="15"/>
    <col collapsed="false" customWidth="true" hidden="false" outlineLevel="0" max="6" min="6" style="0" width="16"/>
    <col collapsed="false" customWidth="true" hidden="false" outlineLevel="0" max="7" min="7" style="0" width="12"/>
    <col collapsed="false" customWidth="true" hidden="false" outlineLevel="0" max="9" min="8" style="0" width="15"/>
    <col collapsed="false" customWidth="true" hidden="false" outlineLevel="0" max="12" min="10" style="0" width="14"/>
    <col collapsed="false" customWidth="true" hidden="false" outlineLevel="0" max="14" min="13" style="0" width="15"/>
    <col collapsed="false" customWidth="true" hidden="false" outlineLevel="0" max="15" min="15" style="0" width="16"/>
  </cols>
  <sheetData>
    <row r="3" customFormat="false" ht="27" hidden="false" customHeight="true" outlineLevel="0" collapsed="false">
      <c r="C3" s="1" t="s">
        <v>0</v>
      </c>
      <c r="D3" s="1"/>
      <c r="E3" s="1"/>
      <c r="F3" s="1"/>
      <c r="G3" s="1"/>
      <c r="H3" s="1"/>
      <c r="I3" s="1"/>
      <c r="J3" s="1"/>
      <c r="K3" s="1"/>
      <c r="L3" s="1"/>
      <c r="M3" s="1"/>
      <c r="N3" s="1"/>
      <c r="O3" s="1"/>
    </row>
    <row r="5" customFormat="false" ht="15" hidden="false" customHeight="false" outlineLevel="0" collapsed="false">
      <c r="C5" s="2" t="s">
        <v>1</v>
      </c>
      <c r="D5" s="2"/>
      <c r="E5" s="2"/>
      <c r="F5" s="2"/>
      <c r="G5" s="2"/>
      <c r="H5" s="2"/>
      <c r="I5" s="2"/>
      <c r="J5" s="2"/>
      <c r="K5" s="2"/>
      <c r="L5" s="2"/>
      <c r="M5" s="2"/>
      <c r="N5" s="2"/>
      <c r="O5" s="2"/>
    </row>
    <row r="6" customFormat="false" ht="15" hidden="false" customHeight="false" outlineLevel="0" collapsed="false">
      <c r="C6" s="3" t="s">
        <v>2</v>
      </c>
      <c r="D6" s="3"/>
      <c r="E6" s="3"/>
      <c r="F6" s="3"/>
      <c r="G6" s="3"/>
      <c r="H6" s="3"/>
      <c r="I6" s="3"/>
      <c r="J6" s="3"/>
      <c r="K6" s="3"/>
      <c r="L6" s="3"/>
      <c r="M6" s="3"/>
      <c r="N6" s="3"/>
      <c r="O6" s="3"/>
    </row>
    <row r="8" customFormat="false" ht="42" hidden="false" customHeight="true" outlineLevel="0" collapsed="false">
      <c r="C8" s="4" t="s">
        <v>3</v>
      </c>
      <c r="D8" s="4"/>
      <c r="E8" s="4"/>
      <c r="F8" s="4"/>
      <c r="G8" s="4"/>
      <c r="H8" s="4"/>
      <c r="I8" s="4"/>
      <c r="J8" s="4"/>
      <c r="K8" s="4"/>
      <c r="L8" s="4"/>
      <c r="M8" s="4"/>
      <c r="N8" s="4"/>
      <c r="O8" s="4"/>
    </row>
    <row r="9" customFormat="false" ht="15" hidden="false" customHeight="false" outlineLevel="0" collapsed="false">
      <c r="C9" s="4"/>
      <c r="D9" s="4"/>
      <c r="E9" s="4"/>
      <c r="F9" s="4"/>
      <c r="G9" s="4"/>
      <c r="H9" s="4"/>
      <c r="I9" s="4"/>
      <c r="J9" s="4"/>
      <c r="K9" s="4"/>
      <c r="L9" s="4"/>
      <c r="M9" s="4"/>
      <c r="N9" s="4"/>
      <c r="O9" s="4"/>
    </row>
    <row r="11" customFormat="false" ht="21.75" hidden="false" customHeight="true" outlineLevel="0" collapsed="false">
      <c r="C11" s="5" t="s">
        <v>4</v>
      </c>
      <c r="D11" s="5"/>
      <c r="E11" s="5"/>
      <c r="F11" s="5"/>
      <c r="G11" s="5"/>
      <c r="I11" s="5" t="s">
        <v>5</v>
      </c>
      <c r="J11" s="5"/>
      <c r="K11" s="5"/>
      <c r="L11" s="5"/>
      <c r="M11" s="5"/>
      <c r="N11" s="5"/>
      <c r="O11" s="5"/>
    </row>
    <row r="12" customFormat="false" ht="66" hidden="false" customHeight="true" outlineLevel="0" collapsed="false">
      <c r="C12" s="6" t="s">
        <v>6</v>
      </c>
      <c r="D12" s="7" t="s">
        <v>7</v>
      </c>
      <c r="E12" s="8" t="s">
        <v>8</v>
      </c>
      <c r="F12" s="7" t="s">
        <v>9</v>
      </c>
      <c r="G12" s="9" t="s">
        <v>10</v>
      </c>
      <c r="I12" s="4" t="s">
        <v>11</v>
      </c>
      <c r="J12" s="4"/>
      <c r="K12" s="4"/>
      <c r="L12" s="4"/>
      <c r="M12" s="4"/>
      <c r="N12" s="4"/>
      <c r="O12" s="4"/>
    </row>
    <row r="13" customFormat="false" ht="21.75" hidden="false" customHeight="true" outlineLevel="0" collapsed="false">
      <c r="C13" s="10" t="s">
        <v>12</v>
      </c>
      <c r="D13" s="11" t="n">
        <f aca="false">SUM(L21:L29)</f>
        <v>114000</v>
      </c>
      <c r="E13" s="12" t="n">
        <f aca="false">SUM(M21:M29)</f>
        <v>192500</v>
      </c>
      <c r="F13" s="12" t="n">
        <f aca="false">SUM(N21:N29)</f>
        <v>116000</v>
      </c>
      <c r="G13" s="13" t="n">
        <f aca="false">SUM(O21:O29)</f>
        <v>1456500</v>
      </c>
      <c r="I13" s="4"/>
      <c r="J13" s="4"/>
      <c r="K13" s="4"/>
      <c r="L13" s="4"/>
      <c r="M13" s="4"/>
      <c r="N13" s="4"/>
      <c r="O13" s="4"/>
    </row>
    <row r="14" customFormat="false" ht="21.75" hidden="false" customHeight="true" outlineLevel="0" collapsed="false">
      <c r="C14" s="10" t="s">
        <v>13</v>
      </c>
      <c r="D14" s="12" t="n">
        <f aca="false">-SUMIF($G$21:$G$29,"60%",$L$21:$L$29)*60%</f>
        <v>-27000</v>
      </c>
      <c r="E14" s="12" t="n">
        <f aca="false">-SUMIF($G$21:$G$29,"60%",$L$21:$L$29)*60%</f>
        <v>-27000</v>
      </c>
      <c r="F14" s="12" t="n">
        <f aca="false">-SUMIF($G$21:$G$29,"60%",$L$21:$L$29)*60%</f>
        <v>-27000</v>
      </c>
      <c r="G14" s="13" t="n">
        <f aca="false">-SUMIF($G$21:$G$29,"60%",$I$21:$I$29)*60%</f>
        <v>-324000</v>
      </c>
      <c r="I14" s="4"/>
      <c r="J14" s="4"/>
      <c r="K14" s="4"/>
      <c r="L14" s="4"/>
      <c r="M14" s="4"/>
      <c r="N14" s="4"/>
      <c r="O14" s="4"/>
    </row>
    <row r="15" customFormat="false" ht="21.75" hidden="false" customHeight="true" outlineLevel="0" collapsed="false">
      <c r="C15" s="14" t="s">
        <v>14</v>
      </c>
      <c r="D15" s="15" t="n">
        <f aca="false">D13+D14</f>
        <v>87000</v>
      </c>
      <c r="E15" s="15" t="n">
        <f aca="false">E13+E14</f>
        <v>165500</v>
      </c>
      <c r="F15" s="15" t="n">
        <f aca="false">F13+F14</f>
        <v>89000</v>
      </c>
      <c r="G15" s="15" t="n">
        <f aca="false">G13+G14</f>
        <v>1132500</v>
      </c>
      <c r="I15" s="4"/>
      <c r="J15" s="4"/>
      <c r="K15" s="4"/>
      <c r="L15" s="4"/>
      <c r="M15" s="4"/>
      <c r="N15" s="4"/>
      <c r="O15" s="4"/>
    </row>
    <row r="18" customFormat="false" ht="21.75" hidden="false" customHeight="true" outlineLevel="0" collapsed="false">
      <c r="C18" s="5" t="s">
        <v>15</v>
      </c>
      <c r="D18" s="5"/>
      <c r="E18" s="5"/>
      <c r="F18" s="5"/>
      <c r="G18" s="5"/>
      <c r="H18" s="5"/>
      <c r="I18" s="5"/>
      <c r="J18" s="5"/>
      <c r="K18" s="5"/>
      <c r="L18" s="5"/>
      <c r="M18" s="5"/>
      <c r="N18" s="5"/>
      <c r="O18" s="5"/>
    </row>
    <row r="20" customFormat="false" ht="33.75" hidden="false" customHeight="true" outlineLevel="0" collapsed="false">
      <c r="C20" s="6" t="s">
        <v>16</v>
      </c>
      <c r="D20" s="7" t="s">
        <v>17</v>
      </c>
      <c r="E20" s="7" t="s">
        <v>18</v>
      </c>
      <c r="F20" s="7" t="s">
        <v>19</v>
      </c>
      <c r="G20" s="7" t="s">
        <v>20</v>
      </c>
      <c r="H20" s="7" t="s">
        <v>21</v>
      </c>
      <c r="I20" s="7" t="s">
        <v>22</v>
      </c>
      <c r="J20" s="7" t="s">
        <v>23</v>
      </c>
      <c r="K20" s="7" t="s">
        <v>24</v>
      </c>
      <c r="L20" s="8" t="s">
        <v>25</v>
      </c>
      <c r="M20" s="7" t="s">
        <v>26</v>
      </c>
      <c r="N20" s="7" t="s">
        <v>27</v>
      </c>
      <c r="O20" s="9" t="s">
        <v>28</v>
      </c>
    </row>
    <row r="21" customFormat="false" ht="24" hidden="false" customHeight="true" outlineLevel="0" collapsed="false">
      <c r="C21" s="16" t="s">
        <v>29</v>
      </c>
      <c r="D21" s="17" t="s">
        <v>30</v>
      </c>
      <c r="E21" s="17" t="s">
        <v>31</v>
      </c>
      <c r="F21" s="17" t="s">
        <v>32</v>
      </c>
      <c r="G21" s="18" t="s">
        <v>33</v>
      </c>
      <c r="H21" s="19" t="n">
        <f aca="false">IF(C21="Martin Aguero",0,2*30/35)</f>
        <v>1.71428571428571</v>
      </c>
      <c r="I21" s="20" t="n">
        <v>216000</v>
      </c>
      <c r="J21" s="12" t="n">
        <f aca="false">IF(E21="Repatriate",1.5*I21/12,0)</f>
        <v>27000</v>
      </c>
      <c r="K21" s="12" t="n">
        <f aca="false">IF(C21="Alan McKeon",2000,0)</f>
        <v>0</v>
      </c>
      <c r="L21" s="11" t="n">
        <f aca="false">I21/12</f>
        <v>18000</v>
      </c>
      <c r="M21" s="12" t="n">
        <f aca="false">L21+J21+K21</f>
        <v>45000</v>
      </c>
      <c r="N21" s="12" t="n">
        <f aca="false">L21+K21</f>
        <v>18000</v>
      </c>
      <c r="O21" s="21" t="n">
        <f aca="false">6*L21+M21+5*N21</f>
        <v>243000</v>
      </c>
    </row>
    <row r="22" customFormat="false" ht="24" hidden="false" customHeight="true" outlineLevel="0" collapsed="false">
      <c r="C22" s="16" t="s">
        <v>34</v>
      </c>
      <c r="D22" s="17" t="s">
        <v>35</v>
      </c>
      <c r="E22" s="17" t="s">
        <v>31</v>
      </c>
      <c r="F22" s="17" t="s">
        <v>32</v>
      </c>
      <c r="G22" s="18" t="s">
        <v>36</v>
      </c>
      <c r="H22" s="19" t="n">
        <f aca="false">IF(C22="Martin Aguero",0,2*30/35)</f>
        <v>1.71428571428571</v>
      </c>
      <c r="I22" s="22" t="n">
        <v>180000</v>
      </c>
      <c r="J22" s="12" t="n">
        <f aca="false">IF(E22="Repatriate",1.5*I22/12,0)</f>
        <v>22500</v>
      </c>
      <c r="K22" s="12" t="n">
        <f aca="false">IF(C22="Alan McKeon",2000,0)</f>
        <v>0</v>
      </c>
      <c r="L22" s="12" t="n">
        <f aca="false">I22/12</f>
        <v>15000</v>
      </c>
      <c r="M22" s="12" t="n">
        <f aca="false">L22+J22+K22</f>
        <v>37500</v>
      </c>
      <c r="N22" s="12" t="n">
        <f aca="false">L22+K22</f>
        <v>15000</v>
      </c>
      <c r="O22" s="13" t="n">
        <f aca="false">6*L22+M22+5*N22</f>
        <v>202500</v>
      </c>
    </row>
    <row r="23" customFormat="false" ht="24" hidden="false" customHeight="true" outlineLevel="0" collapsed="false">
      <c r="C23" s="16" t="s">
        <v>37</v>
      </c>
      <c r="D23" s="17" t="s">
        <v>38</v>
      </c>
      <c r="E23" s="17" t="s">
        <v>31</v>
      </c>
      <c r="F23" s="17" t="s">
        <v>32</v>
      </c>
      <c r="G23" s="18" t="s">
        <v>33</v>
      </c>
      <c r="H23" s="19" t="n">
        <f aca="false">IF(C23="Martin Aguero",0,2*30/35)</f>
        <v>1.71428571428571</v>
      </c>
      <c r="I23" s="22" t="n">
        <v>216000</v>
      </c>
      <c r="J23" s="12" t="n">
        <f aca="false">IF(E23="Repatriate",1.5*I23/12,0)</f>
        <v>27000</v>
      </c>
      <c r="K23" s="12" t="n">
        <f aca="false">IF(C23="Alan McKeon",2000,0)</f>
        <v>0</v>
      </c>
      <c r="L23" s="12" t="n">
        <f aca="false">I23/12</f>
        <v>18000</v>
      </c>
      <c r="M23" s="12" t="n">
        <f aca="false">L23+J23+K23</f>
        <v>45000</v>
      </c>
      <c r="N23" s="12" t="n">
        <f aca="false">L23+K23</f>
        <v>18000</v>
      </c>
      <c r="O23" s="13" t="n">
        <f aca="false">6*L23+M23+5*N23</f>
        <v>243000</v>
      </c>
    </row>
    <row r="24" customFormat="false" ht="24" hidden="false" customHeight="true" outlineLevel="0" collapsed="false">
      <c r="C24" s="16" t="s">
        <v>39</v>
      </c>
      <c r="D24" s="17" t="s">
        <v>40</v>
      </c>
      <c r="E24" s="17" t="s">
        <v>41</v>
      </c>
      <c r="F24" s="17" t="s">
        <v>41</v>
      </c>
      <c r="G24" s="18" t="s">
        <v>36</v>
      </c>
      <c r="H24" s="19" t="n">
        <f aca="false">IF(C24="Martin Aguero",0,2*30/35)</f>
        <v>1.71428571428571</v>
      </c>
      <c r="I24" s="22" t="n">
        <v>180000</v>
      </c>
      <c r="J24" s="12" t="n">
        <f aca="false">IF(E24="Repatriate",1.5*I24/12,0)</f>
        <v>0</v>
      </c>
      <c r="K24" s="12" t="n">
        <f aca="false">IF(C24="Alan McKeon",2000,0)</f>
        <v>2000</v>
      </c>
      <c r="L24" s="12" t="n">
        <f aca="false">I24/12</f>
        <v>15000</v>
      </c>
      <c r="M24" s="12" t="n">
        <f aca="false">L24+J24+K24</f>
        <v>17000</v>
      </c>
      <c r="N24" s="12" t="n">
        <f aca="false">L24+K24</f>
        <v>17000</v>
      </c>
      <c r="O24" s="13" t="n">
        <f aca="false">6*L24+M24+5*N24</f>
        <v>192000</v>
      </c>
    </row>
    <row r="25" customFormat="false" ht="24" hidden="false" customHeight="true" outlineLevel="0" collapsed="false">
      <c r="C25" s="16" t="s">
        <v>42</v>
      </c>
      <c r="D25" s="17" t="s">
        <v>43</v>
      </c>
      <c r="E25" s="17" t="s">
        <v>44</v>
      </c>
      <c r="F25" s="17" t="s">
        <v>44</v>
      </c>
      <c r="G25" s="18" t="s">
        <v>33</v>
      </c>
      <c r="H25" s="19" t="n">
        <f aca="false">IF(C25="Martin Aguero",0,2*30/35)</f>
        <v>1.71428571428571</v>
      </c>
      <c r="I25" s="22" t="n">
        <v>120000</v>
      </c>
      <c r="J25" s="12" t="n">
        <f aca="false">IF(E25="Repatriate",1.5*I25/12,0)</f>
        <v>0</v>
      </c>
      <c r="K25" s="12" t="n">
        <f aca="false">IF(C25="Alan McKeon",2000,0)</f>
        <v>0</v>
      </c>
      <c r="L25" s="12" t="n">
        <f aca="false">I25/12</f>
        <v>10000</v>
      </c>
      <c r="M25" s="12" t="n">
        <f aca="false">L25+J25+K25</f>
        <v>10000</v>
      </c>
      <c r="N25" s="12" t="n">
        <f aca="false">L25+K25</f>
        <v>10000</v>
      </c>
      <c r="O25" s="13" t="n">
        <f aca="false">6*L25+M25+5*N25</f>
        <v>120000</v>
      </c>
    </row>
    <row r="26" customFormat="false" ht="24" hidden="false" customHeight="true" outlineLevel="0" collapsed="false">
      <c r="C26" s="16" t="s">
        <v>45</v>
      </c>
      <c r="D26" s="17" t="s">
        <v>46</v>
      </c>
      <c r="E26" s="17" t="s">
        <v>41</v>
      </c>
      <c r="F26" s="17" t="s">
        <v>41</v>
      </c>
      <c r="G26" s="18" t="s">
        <v>33</v>
      </c>
      <c r="H26" s="19" t="n">
        <f aca="false">IF(C26="Martin Aguero",0,2*30/35)</f>
        <v>1.71428571428571</v>
      </c>
      <c r="I26" s="22" t="n">
        <v>180000</v>
      </c>
      <c r="J26" s="12" t="n">
        <f aca="false">IF(E26="Repatriate",1.5*I26/12,0)</f>
        <v>0</v>
      </c>
      <c r="K26" s="12" t="n">
        <f aca="false">IF(C26="Alan McKeon",2000,0)</f>
        <v>0</v>
      </c>
      <c r="L26" s="12" t="n">
        <f aca="false">I26/12</f>
        <v>15000</v>
      </c>
      <c r="M26" s="12" t="n">
        <f aca="false">L26+J26+K26</f>
        <v>15000</v>
      </c>
      <c r="N26" s="12" t="n">
        <f aca="false">L26+K26</f>
        <v>15000</v>
      </c>
      <c r="O26" s="13" t="n">
        <f aca="false">6*L26+M26+5*N26</f>
        <v>180000</v>
      </c>
    </row>
    <row r="27" customFormat="false" ht="24" hidden="false" customHeight="true" outlineLevel="0" collapsed="false">
      <c r="C27" s="16" t="s">
        <v>47</v>
      </c>
      <c r="D27" s="17" t="s">
        <v>48</v>
      </c>
      <c r="E27" s="17" t="s">
        <v>44</v>
      </c>
      <c r="F27" s="17" t="s">
        <v>44</v>
      </c>
      <c r="G27" s="18" t="s">
        <v>33</v>
      </c>
      <c r="H27" s="19" t="n">
        <f aca="false">IF(C27="Martin Aguero",0,2*30/35)</f>
        <v>1.71428571428571</v>
      </c>
      <c r="I27" s="22" t="n">
        <v>48000</v>
      </c>
      <c r="J27" s="12" t="n">
        <f aca="false">IF(E27="Repatriate",1.5*I27/12,0)</f>
        <v>0</v>
      </c>
      <c r="K27" s="12" t="n">
        <f aca="false">IF(C27="Alan McKeon",2000,0)</f>
        <v>0</v>
      </c>
      <c r="L27" s="12" t="n">
        <f aca="false">I27/12</f>
        <v>4000</v>
      </c>
      <c r="M27" s="12" t="n">
        <f aca="false">L27+J27+K27</f>
        <v>4000</v>
      </c>
      <c r="N27" s="12" t="n">
        <f aca="false">L27+K27</f>
        <v>4000</v>
      </c>
      <c r="O27" s="13" t="n">
        <f aca="false">6*L27+M27+5*N27</f>
        <v>48000</v>
      </c>
    </row>
    <row r="28" customFormat="false" ht="24" hidden="false" customHeight="true" outlineLevel="0" collapsed="false">
      <c r="C28" s="16" t="s">
        <v>49</v>
      </c>
      <c r="D28" s="17" t="s">
        <v>50</v>
      </c>
      <c r="E28" s="17" t="s">
        <v>51</v>
      </c>
      <c r="F28" s="17" t="s">
        <v>51</v>
      </c>
      <c r="G28" s="18" t="s">
        <v>33</v>
      </c>
      <c r="H28" s="19" t="n">
        <f aca="false">IF(C28="Martin Aguero",0,2*30/35)</f>
        <v>1.71428571428571</v>
      </c>
      <c r="I28" s="22" t="n">
        <v>48000</v>
      </c>
      <c r="J28" s="12" t="n">
        <f aca="false">IF(E28="Repatriate",1.5*I28/12,0)</f>
        <v>0</v>
      </c>
      <c r="K28" s="12" t="n">
        <f aca="false">IF(C28="Alan McKeon",2000,0)</f>
        <v>0</v>
      </c>
      <c r="L28" s="12" t="n">
        <f aca="false">I28/12</f>
        <v>4000</v>
      </c>
      <c r="M28" s="12" t="n">
        <f aca="false">L28+J28+K28</f>
        <v>4000</v>
      </c>
      <c r="N28" s="12" t="n">
        <f aca="false">L28+K28</f>
        <v>4000</v>
      </c>
      <c r="O28" s="13" t="n">
        <f aca="false">6*L28+M28+5*N28</f>
        <v>48000</v>
      </c>
    </row>
    <row r="29" customFormat="false" ht="24" hidden="false" customHeight="true" outlineLevel="0" collapsed="false">
      <c r="C29" s="16" t="s">
        <v>52</v>
      </c>
      <c r="D29" s="17" t="s">
        <v>53</v>
      </c>
      <c r="E29" s="17" t="s">
        <v>54</v>
      </c>
      <c r="F29" s="17" t="s">
        <v>44</v>
      </c>
      <c r="G29" s="18" t="s">
        <v>36</v>
      </c>
      <c r="H29" s="19" t="n">
        <f aca="false">IF(C29="Martin Aguero",0,2*30/35)</f>
        <v>0</v>
      </c>
      <c r="I29" s="22" t="n">
        <v>180000</v>
      </c>
      <c r="J29" s="12" t="n">
        <f aca="false">IF(E29="Repatriate",1.5*I29/12,0)</f>
        <v>0</v>
      </c>
      <c r="K29" s="12" t="n">
        <f aca="false">IF(C29="Alan McKeon",2000,0)</f>
        <v>0</v>
      </c>
      <c r="L29" s="12" t="n">
        <f aca="false">I29/12</f>
        <v>15000</v>
      </c>
      <c r="M29" s="12" t="n">
        <f aca="false">L29+J29+K29</f>
        <v>15000</v>
      </c>
      <c r="N29" s="12" t="n">
        <f aca="false">L29+K29</f>
        <v>15000</v>
      </c>
      <c r="O29" s="13" t="n">
        <f aca="false">6*L29+M29+5*N29</f>
        <v>180000</v>
      </c>
    </row>
    <row r="30" customFormat="false" ht="24.75" hidden="false" customHeight="true" outlineLevel="0" collapsed="false">
      <c r="C30" s="23" t="s">
        <v>55</v>
      </c>
      <c r="D30" s="23"/>
      <c r="E30" s="23"/>
      <c r="F30" s="23"/>
      <c r="G30" s="23"/>
      <c r="H30" s="24" t="n">
        <f aca="false">SUM(H21:H29)</f>
        <v>13.7142857142857</v>
      </c>
      <c r="I30" s="25" t="n">
        <f aca="false">SUM(I21:I29)</f>
        <v>1368000</v>
      </c>
      <c r="J30" s="26" t="n">
        <f aca="false">SUM(J21:J29)</f>
        <v>76500</v>
      </c>
      <c r="K30" s="26" t="n">
        <f aca="false">SUM(K21:K29)</f>
        <v>2000</v>
      </c>
      <c r="L30" s="26" t="n">
        <f aca="false">SUM(L21:L29)</f>
        <v>114000</v>
      </c>
      <c r="M30" s="26" t="n">
        <f aca="false">SUM(M21:M29)</f>
        <v>192500</v>
      </c>
      <c r="N30" s="26" t="n">
        <f aca="false">SUM(N21:N29)</f>
        <v>116000</v>
      </c>
      <c r="O30" s="27" t="n">
        <f aca="false">SUM(O21:O29)</f>
        <v>1456500</v>
      </c>
    </row>
    <row r="33" customFormat="false" ht="21.75" hidden="false" customHeight="true" outlineLevel="0" collapsed="false">
      <c r="C33" s="5" t="s">
        <v>56</v>
      </c>
      <c r="D33" s="5"/>
      <c r="E33" s="5"/>
      <c r="F33" s="5"/>
      <c r="G33" s="5"/>
      <c r="H33" s="5"/>
      <c r="I33" s="5"/>
      <c r="J33" s="5"/>
      <c r="K33" s="5"/>
      <c r="L33" s="5"/>
      <c r="M33" s="5"/>
      <c r="N33" s="5"/>
      <c r="O33" s="5"/>
    </row>
    <row r="34" customFormat="false" ht="49.5" hidden="false" customHeight="true" outlineLevel="0" collapsed="false">
      <c r="C34" s="28" t="s">
        <v>57</v>
      </c>
      <c r="D34" s="28"/>
      <c r="E34" s="28"/>
      <c r="F34" s="28"/>
      <c r="G34" s="28"/>
      <c r="H34" s="28"/>
      <c r="I34" s="28"/>
      <c r="J34" s="28"/>
      <c r="K34" s="28"/>
      <c r="L34" s="28"/>
      <c r="M34" s="28"/>
      <c r="N34" s="28"/>
      <c r="O34" s="28"/>
    </row>
    <row r="35" customFormat="false" ht="15" hidden="false" customHeight="false" outlineLevel="0" collapsed="false">
      <c r="C35" s="28"/>
      <c r="D35" s="28"/>
      <c r="E35" s="28"/>
      <c r="F35" s="28"/>
      <c r="G35" s="28"/>
      <c r="H35" s="28"/>
      <c r="I35" s="28"/>
      <c r="J35" s="28"/>
      <c r="K35" s="28"/>
      <c r="L35" s="28"/>
      <c r="M35" s="28"/>
      <c r="N35" s="28"/>
      <c r="O35" s="28"/>
    </row>
    <row r="36" customFormat="false" ht="15" hidden="false" customHeight="false" outlineLevel="0" collapsed="false">
      <c r="C36" s="28"/>
      <c r="D36" s="28"/>
      <c r="E36" s="28"/>
      <c r="F36" s="28"/>
      <c r="G36" s="28"/>
      <c r="H36" s="28"/>
      <c r="I36" s="28"/>
      <c r="J36" s="28"/>
      <c r="K36" s="28"/>
      <c r="L36" s="28"/>
      <c r="M36" s="28"/>
      <c r="N36" s="28"/>
      <c r="O36" s="28"/>
    </row>
  </sheetData>
  <mergeCells count="11">
    <mergeCell ref="C3:O3"/>
    <mergeCell ref="C5:O5"/>
    <mergeCell ref="C6:O6"/>
    <mergeCell ref="C8:O9"/>
    <mergeCell ref="C11:G11"/>
    <mergeCell ref="I11:O11"/>
    <mergeCell ref="I12:O15"/>
    <mergeCell ref="C18:O18"/>
    <mergeCell ref="C30:G30"/>
    <mergeCell ref="C33:O33"/>
    <mergeCell ref="C34:O36"/>
  </mergeCells>
  <conditionalFormatting sqref="O21:O29">
    <cfRule type="dataBar" priority="2">
      <dataBar showValue="1" minLength="10" maxLength="90">
        <cfvo type="min" val="0"/>
        <cfvo type="max" val="0"/>
        <color rgb="FF135B44"/>
      </dataBar>
      <extLst>
        <ext xmlns:x14="http://schemas.microsoft.com/office/spreadsheetml/2009/9/main" uri="{B025F937-C7B1-47D3-B67F-A62EFF666E3E}">
          <x14:id>{F6AC2DF3-67B1-443D-9CA8-E09E58BCBAA8}</x14:id>
        </ext>
      </extLst>
    </cfRule>
  </conditionalFormatting>
  <printOptions headings="false" gridLines="false" gridLinesSet="true" horizontalCentered="false" verticalCentered="false"/>
  <pageMargins left="0.2" right="0.2" top="0.25" bottom="0.25" header="0.511811023622047" footer="0.5"/>
  <pageSetup paperSize="3" scale="100" fitToWidth="1" fitToHeight="1" pageOrder="downThenOver" orientation="landscape" blackAndWhite="false" draft="false" cellComments="none" horizontalDpi="300" verticalDpi="300" copies="1"/>
  <headerFooter differentFirst="false" differentOddEven="false">
    <oddHeader/>
    <oddFooter>&amp;C&amp;8 Manpower Cost Summary | 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F6AC2DF3-67B1-443D-9CA8-E09E58BCBAA8}">
            <x14:dataBar minLength="10" maxLength="90" axisPosition="none" gradient="true">
              <x14:cfvo type="min"/>
              <x14:cfvo type="max"/>
              <x14:negativeFillColor rgb="FF135B44"/>
              <x14:axisColor rgb="FF000000"/>
            </x14:dataBar>
          </x14:cfRule>
          <xm:sqref>O21:O29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2026-09-08T19:56:21Z</dcterms:created>
  <dc:creator>openpyxl</dc:creator>
  <dc:description/>
  <dc:language>en-US</dc:language>
  <cp:lastModifiedBy/>
  <dcterms:modified xsi:type="dcterms:W3CDTF">2026-09-08T19:56:21Z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