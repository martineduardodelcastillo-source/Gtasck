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sharedStrings.xml" ContentType="application/vnd.openxmlformats-officedocument.spreadsheetml.sharedStrings+xml"/>
  <Override PartName="/xl/comments1.xml" ContentType="application/vnd.openxmlformats-officedocument.spreadsheetml.comments+xml"/>
  <Override PartName="/xl/drawings/vmlDrawing1.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600" firstSheet="0" activeTab="0"/>
  </bookViews>
  <sheets>
    <sheet name="Manpower Cost Summary" sheetId="1" state="visible" r:id="rId3"/>
  </sheets>
  <definedNames>
    <definedName function="false" hidden="false" localSheetId="0" name="_xlnm.Print_Area" vbProcedure="false">'Manpower Cost Summary'!$B$2:$O$36</definedName>
  </definedNames>
  <calcPr iterateCount="100" refMode="A1" iterate="false" iterateDelta="0.0001"/>
  <extLst>
    <ext xmlns:loext="http://schemas.libreoffice.org/" uri="{7626C862-2A13-11E5-B345-FEFF819CDC9F}">
      <loext:extCalcPr stringRefSyntax="ExcelA1"/>
    </ext>
  </extLst>
</workbook>
</file>

<file path=xl/comments1.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C8" authorId="0">
      <text>
        <r>
          <rPr>
            <sz val="10"/>
            <rFont val="Arial"/>
            <family val="2"/>
          </rPr>
          <t xml:space="preserve">Source: management instruction in this task through 7–8 September 2026. Tax, payroll, labor-law and residence treatment require legal and tax review before implementation.</t>
        </r>
      </text>
      <mc:AlternateContent>
        <mc:Choice Requires="v2">
          <commentPr autoFill="true" autoScale="false" colHidden="false" locked="false" rowHidden="false" textHAlign="justify" textVAlign="top">
            <anchor moveWithCells="false" sizeWithCells="false">
              <xdr:from>
                <xdr:col>2</xdr:col>
                <xdr:colOff>29</xdr:colOff>
                <xdr:row>0</xdr:row>
                <xdr:rowOff>2</xdr:rowOff>
              </xdr:from>
              <xdr:to>
                <xdr:col>3</xdr:col>
                <xdr:colOff>-29</xdr:colOff>
                <xdr:row>6</xdr:row>
                <xdr:rowOff>8</xdr:rowOff>
              </xdr:to>
            </anchor>
          </commentPr>
        </mc:Choice>
        <mc:Fallback/>
      </mc:AlternateContent>
    </comment>
    <comment ref="C21" authorId="0">
      <text>
        <r>
          <rPr>
            <sz val="10"/>
            <rFont val="Arial"/>
            <family val="2"/>
          </rPr>
          <t xml:space="preserve">Source: user-provided annual compensation table, reviewed 7–8 September 2026; field: Person. One-time M7 transition package. Origin-country employee tax assumption; no company gross-up modeled.</t>
        </r>
      </text>
      <mc:AlternateContent>
        <mc:Choice Requires="v2">
          <commentPr autoFill="true" autoScale="false" colHidden="false" locked="false" rowHidden="false" textHAlign="justify" textVAlign="top">
            <anchor moveWithCells="false" sizeWithCells="false">
              <xdr:from>
                <xdr:col>2</xdr:col>
                <xdr:colOff>29</xdr:colOff>
                <xdr:row>0</xdr:row>
                <xdr:rowOff>2</xdr:rowOff>
              </xdr:from>
              <xdr:to>
                <xdr:col>3</xdr:col>
                <xdr:colOff>-29</xdr:colOff>
                <xdr:row>7</xdr:row>
                <xdr:rowOff>18</xdr:rowOff>
              </xdr:to>
            </anchor>
          </commentPr>
        </mc:Choice>
        <mc:Fallback/>
      </mc:AlternateContent>
    </comment>
    <comment ref="C22" authorId="0">
      <text>
        <r>
          <rPr>
            <sz val="10"/>
            <rFont val="Arial"/>
            <family val="2"/>
          </rPr>
          <t xml:space="preserve">Source: user-provided annual compensation table, reviewed 7–8 September 2026; field: Person. Initial PU secondee. PU pays modeled cost; one-time M7 transition package applies.</t>
        </r>
      </text>
      <mc:AlternateContent>
        <mc:Choice Requires="v2">
          <commentPr autoFill="true" autoScale="false" colHidden="false" locked="false" rowHidden="false" textHAlign="justify" textVAlign="top">
            <anchor moveWithCells="false" sizeWithCells="false">
              <xdr:from>
                <xdr:col>2</xdr:col>
                <xdr:colOff>29</xdr:colOff>
                <xdr:row>0</xdr:row>
                <xdr:rowOff>2</xdr:rowOff>
              </xdr:from>
              <xdr:to>
                <xdr:col>3</xdr:col>
                <xdr:colOff>-29</xdr:colOff>
                <xdr:row>6</xdr:row>
                <xdr:rowOff>8</xdr:rowOff>
              </xdr:to>
            </anchor>
          </commentPr>
        </mc:Choice>
        <mc:Fallback/>
      </mc:AlternateContent>
    </comment>
    <comment ref="C23" authorId="0">
      <text>
        <r>
          <rPr>
            <sz val="10"/>
            <rFont val="Arial"/>
            <family val="2"/>
          </rPr>
          <t xml:space="preserve">Source: user-provided annual compensation table, reviewed 7–8 September 2026; field: Person. One-time M7 transition package. Origin-country employee tax assumption; no company gross-up modeled.</t>
        </r>
      </text>
      <mc:AlternateContent>
        <mc:Choice Requires="v2">
          <commentPr autoFill="true" autoScale="false" colHidden="false" locked="false" rowHidden="false" textHAlign="justify" textVAlign="top">
            <anchor moveWithCells="false" sizeWithCells="false">
              <xdr:from>
                <xdr:col>2</xdr:col>
                <xdr:colOff>29</xdr:colOff>
                <xdr:row>0</xdr:row>
                <xdr:rowOff>2</xdr:rowOff>
              </xdr:from>
              <xdr:to>
                <xdr:col>3</xdr:col>
                <xdr:colOff>-29</xdr:colOff>
                <xdr:row>7</xdr:row>
                <xdr:rowOff>18</xdr:rowOff>
              </xdr:to>
            </anchor>
          </commentPr>
        </mc:Choice>
        <mc:Fallback/>
      </mc:AlternateContent>
    </comment>
    <comment ref="C24" authorId="0">
      <text>
        <r>
          <rPr>
            <sz val="10"/>
            <rFont val="Arial"/>
            <family val="2"/>
          </rPr>
          <t xml:space="preserve">Source: user-provided annual compensation table, reviewed 7–8 September 2026; field: Person. Initial PU secondee. Approved family relocation to Maracaibo; $2,000/month housing from M7 and home leave stated as a non-costed benefit.</t>
        </r>
      </text>
      <mc:AlternateContent>
        <mc:Choice Requires="v2">
          <commentPr autoFill="true" autoScale="false" colHidden="false" locked="false" rowHidden="false" textHAlign="justify" textVAlign="top">
            <anchor moveWithCells="false" sizeWithCells="false">
              <xdr:from>
                <xdr:col>2</xdr:col>
                <xdr:colOff>29</xdr:colOff>
                <xdr:row>0</xdr:row>
                <xdr:rowOff>2</xdr:rowOff>
              </xdr:from>
              <xdr:to>
                <xdr:col>3</xdr:col>
                <xdr:colOff>-29</xdr:colOff>
                <xdr:row>7</xdr:row>
                <xdr:rowOff>33</xdr:rowOff>
              </xdr:to>
            </anchor>
          </commentPr>
        </mc:Choice>
        <mc:Fallback/>
      </mc:AlternateContent>
    </comment>
    <comment ref="C25" authorId="0">
      <text>
        <r>
          <rPr>
            <sz val="10"/>
            <rFont val="Arial"/>
            <family val="2"/>
          </rPr>
          <t xml:space="preserve">Source: user-provided annual compensation table, reviewed 7–8 September 2026; field: Person. Remote designation and local benefit treatment remain subject to confirmation.</t>
        </r>
      </text>
      <mc:AlternateContent>
        <mc:Choice Requires="v2">
          <commentPr autoFill="true" autoScale="false" colHidden="false" locked="false" rowHidden="false" textHAlign="justify" textVAlign="top">
            <anchor moveWithCells="false" sizeWithCells="false">
              <xdr:from>
                <xdr:col>2</xdr:col>
                <xdr:colOff>29</xdr:colOff>
                <xdr:row>0</xdr:row>
                <xdr:rowOff>2</xdr:rowOff>
              </xdr:from>
              <xdr:to>
                <xdr:col>3</xdr:col>
                <xdr:colOff>-29</xdr:colOff>
                <xdr:row>6</xdr:row>
                <xdr:rowOff>8</xdr:rowOff>
              </xdr:to>
            </anchor>
          </commentPr>
        </mc:Choice>
        <mc:Fallback/>
      </mc:AlternateContent>
    </comment>
    <comment ref="C26" authorId="0">
      <text>
        <r>
          <rPr>
            <sz val="10"/>
            <rFont val="Arial"/>
            <family val="2"/>
          </rPr>
          <t xml:space="preserve">Source: user-provided annual compensation table, reviewed 7–8 September 2026; field: Person. Rotation is confirmed; expatriate contract treatment remains subject to confirmation.</t>
        </r>
      </text>
      <mc:AlternateContent>
        <mc:Choice Requires="v2">
          <commentPr autoFill="true" autoScale="false" colHidden="false" locked="false" rowHidden="false" textHAlign="justify" textVAlign="top">
            <anchor moveWithCells="false" sizeWithCells="false">
              <xdr:from>
                <xdr:col>2</xdr:col>
                <xdr:colOff>29</xdr:colOff>
                <xdr:row>0</xdr:row>
                <xdr:rowOff>2</xdr:rowOff>
              </xdr:from>
              <xdr:to>
                <xdr:col>3</xdr:col>
                <xdr:colOff>-29</xdr:colOff>
                <xdr:row>6</xdr:row>
                <xdr:rowOff>8</xdr:rowOff>
              </xdr:to>
            </anchor>
          </commentPr>
        </mc:Choice>
        <mc:Fallback/>
      </mc:AlternateContent>
    </comment>
    <comment ref="C27" authorId="0">
      <text>
        <r>
          <rPr>
            <sz val="10"/>
            <rFont val="Arial"/>
            <family val="2"/>
          </rPr>
          <t xml:space="preserve">Source: user-provided annual compensation table, reviewed 7–8 September 2026; field: Person. Local / staff-house approach; no cash housing allowance modeled.</t>
        </r>
      </text>
      <mc:AlternateContent>
        <mc:Choice Requires="v2">
          <commentPr autoFill="true" autoScale="false" colHidden="false" locked="false" rowHidden="false" textHAlign="justify" textVAlign="top">
            <anchor moveWithCells="false" sizeWithCells="false">
              <xdr:from>
                <xdr:col>2</xdr:col>
                <xdr:colOff>29</xdr:colOff>
                <xdr:row>0</xdr:row>
                <xdr:rowOff>2</xdr:rowOff>
              </xdr:from>
              <xdr:to>
                <xdr:col>3</xdr:col>
                <xdr:colOff>-29</xdr:colOff>
                <xdr:row>5</xdr:row>
                <xdr:rowOff>13</xdr:rowOff>
              </xdr:to>
            </anchor>
          </commentPr>
        </mc:Choice>
        <mc:Fallback/>
      </mc:AlternateContent>
    </comment>
    <comment ref="C28" authorId="0">
      <text>
        <r>
          <rPr>
            <sz val="10"/>
            <rFont val="Arial"/>
            <family val="2"/>
          </rPr>
          <t xml:space="preserve">Source: user-provided annual compensation table, reviewed 7–8 September 2026; field: Person. Open role; salary is a budget placeholder. Contract and benefits remain TBD.</t>
        </r>
      </text>
      <mc:AlternateContent>
        <mc:Choice Requires="v2">
          <commentPr autoFill="true" autoScale="false" colHidden="false" locked="false" rowHidden="false" textHAlign="justify" textVAlign="top">
            <anchor moveWithCells="false" sizeWithCells="false">
              <xdr:from>
                <xdr:col>2</xdr:col>
                <xdr:colOff>29</xdr:colOff>
                <xdr:row>0</xdr:row>
                <xdr:rowOff>2</xdr:rowOff>
              </xdr:from>
              <xdr:to>
                <xdr:col>3</xdr:col>
                <xdr:colOff>-29</xdr:colOff>
                <xdr:row>6</xdr:row>
                <xdr:rowOff>8</xdr:rowOff>
              </xdr:to>
            </anchor>
          </commentPr>
        </mc:Choice>
        <mc:Fallback/>
      </mc:AlternateContent>
    </comment>
    <comment ref="C29" authorId="0">
      <text>
        <r>
          <rPr>
            <sz val="10"/>
            <rFont val="Arial"/>
            <family val="2"/>
          </rPr>
          <t xml:space="preserve">Source: user-provided annual compensation table, reviewed 7–8 September 2026; field: Person. Already assigned to the project as a local secondee. PU pays salary; 30 paid vacation days apply.</t>
        </r>
      </text>
      <mc:AlternateContent>
        <mc:Choice Requires="v2">
          <commentPr autoFill="true" autoScale="false" colHidden="false" locked="false" rowHidden="false" textHAlign="justify" textVAlign="top">
            <anchor moveWithCells="false" sizeWithCells="false">
              <xdr:from>
                <xdr:col>2</xdr:col>
                <xdr:colOff>29</xdr:colOff>
                <xdr:row>0</xdr:row>
                <xdr:rowOff>2</xdr:rowOff>
              </xdr:from>
              <xdr:to>
                <xdr:col>3</xdr:col>
                <xdr:colOff>-29</xdr:colOff>
                <xdr:row>7</xdr:row>
                <xdr:rowOff>3</xdr:rowOff>
              </xdr:to>
            </anchor>
          </commentPr>
        </mc:Choice>
        <mc:Fallback/>
      </mc:AlternateContent>
    </comment>
    <comment ref="D21" authorId="0">
      <text>
        <r>
          <rPr>
            <sz val="10"/>
            <rFont val="Arial"/>
            <family val="2"/>
          </rPr>
          <t xml:space="preserve">Source: user-provided annual compensation table, reviewed 7–8 September 2026; field: Position. One-time M7 transition package. Origin-country employee tax assumption; no company gross-up modeled.</t>
        </r>
      </text>
      <mc:AlternateContent>
        <mc:Choice Requires="v2">
          <commentPr autoFill="true" autoScale="false" colHidden="false" locked="false" rowHidden="false" textHAlign="justify" textVAlign="top">
            <anchor moveWithCells="false" sizeWithCells="false">
              <xdr:from>
                <xdr:col>2</xdr:col>
                <xdr:colOff>29</xdr:colOff>
                <xdr:row>0</xdr:row>
                <xdr:rowOff>2</xdr:rowOff>
              </xdr:from>
              <xdr:to>
                <xdr:col>3</xdr:col>
                <xdr:colOff>-29</xdr:colOff>
                <xdr:row>7</xdr:row>
                <xdr:rowOff>18</xdr:rowOff>
              </xdr:to>
            </anchor>
          </commentPr>
        </mc:Choice>
        <mc:Fallback/>
      </mc:AlternateContent>
    </comment>
    <comment ref="D22" authorId="0">
      <text>
        <r>
          <rPr>
            <sz val="10"/>
            <rFont val="Arial"/>
            <family val="2"/>
          </rPr>
          <t xml:space="preserve">Source: user-provided annual compensation table, reviewed 7–8 September 2026; field: Position. Initial PU secondee. PU pays modeled cost; one-time M7 transition package applies.</t>
        </r>
      </text>
      <mc:AlternateContent>
        <mc:Choice Requires="v2">
          <commentPr autoFill="true" autoScale="false" colHidden="false" locked="false" rowHidden="false" textHAlign="justify" textVAlign="top">
            <anchor moveWithCells="false" sizeWithCells="false">
              <xdr:from>
                <xdr:col>2</xdr:col>
                <xdr:colOff>29</xdr:colOff>
                <xdr:row>0</xdr:row>
                <xdr:rowOff>2</xdr:rowOff>
              </xdr:from>
              <xdr:to>
                <xdr:col>3</xdr:col>
                <xdr:colOff>-29</xdr:colOff>
                <xdr:row>6</xdr:row>
                <xdr:rowOff>8</xdr:rowOff>
              </xdr:to>
            </anchor>
          </commentPr>
        </mc:Choice>
        <mc:Fallback/>
      </mc:AlternateContent>
    </comment>
    <comment ref="D23" authorId="0">
      <text>
        <r>
          <rPr>
            <sz val="10"/>
            <rFont val="Arial"/>
            <family val="2"/>
          </rPr>
          <t xml:space="preserve">Source: user-provided annual compensation table, reviewed 7–8 September 2026; field: Position. One-time M7 transition package. Origin-country employee tax assumption; no company gross-up modeled.</t>
        </r>
      </text>
      <mc:AlternateContent>
        <mc:Choice Requires="v2">
          <commentPr autoFill="true" autoScale="false" colHidden="false" locked="false" rowHidden="false" textHAlign="justify" textVAlign="top">
            <anchor moveWithCells="false" sizeWithCells="false">
              <xdr:from>
                <xdr:col>2</xdr:col>
                <xdr:colOff>29</xdr:colOff>
                <xdr:row>0</xdr:row>
                <xdr:rowOff>2</xdr:rowOff>
              </xdr:from>
              <xdr:to>
                <xdr:col>3</xdr:col>
                <xdr:colOff>-29</xdr:colOff>
                <xdr:row>7</xdr:row>
                <xdr:rowOff>18</xdr:rowOff>
              </xdr:to>
            </anchor>
          </commentPr>
        </mc:Choice>
        <mc:Fallback/>
      </mc:AlternateContent>
    </comment>
    <comment ref="D24" authorId="0">
      <text>
        <r>
          <rPr>
            <sz val="10"/>
            <rFont val="Arial"/>
            <family val="2"/>
          </rPr>
          <t xml:space="preserve">Source: user-provided annual compensation table, reviewed 7–8 September 2026; field: Position. Initial PU secondee. Approved family relocation to Maracaibo; $2,000/month housing from M7 and home leave stated as a non-costed benefit.</t>
        </r>
      </text>
      <mc:AlternateContent>
        <mc:Choice Requires="v2">
          <commentPr autoFill="true" autoScale="false" colHidden="false" locked="false" rowHidden="false" textHAlign="justify" textVAlign="top">
            <anchor moveWithCells="false" sizeWithCells="false">
              <xdr:from>
                <xdr:col>2</xdr:col>
                <xdr:colOff>29</xdr:colOff>
                <xdr:row>0</xdr:row>
                <xdr:rowOff>2</xdr:rowOff>
              </xdr:from>
              <xdr:to>
                <xdr:col>3</xdr:col>
                <xdr:colOff>-29</xdr:colOff>
                <xdr:row>7</xdr:row>
                <xdr:rowOff>33</xdr:rowOff>
              </xdr:to>
            </anchor>
          </commentPr>
        </mc:Choice>
        <mc:Fallback/>
      </mc:AlternateContent>
    </comment>
    <comment ref="D25" authorId="0">
      <text>
        <r>
          <rPr>
            <sz val="10"/>
            <rFont val="Arial"/>
            <family val="2"/>
          </rPr>
          <t xml:space="preserve">Source: user-provided annual compensation table, reviewed 7–8 September 2026; field: Position. Remote designation and local benefit treatment remain subject to confirmation.</t>
        </r>
      </text>
      <mc:AlternateContent>
        <mc:Choice Requires="v2">
          <commentPr autoFill="true" autoScale="false" colHidden="false" locked="false" rowHidden="false" textHAlign="justify" textVAlign="top">
            <anchor moveWithCells="false" sizeWithCells="false">
              <xdr:from>
                <xdr:col>2</xdr:col>
                <xdr:colOff>29</xdr:colOff>
                <xdr:row>0</xdr:row>
                <xdr:rowOff>2</xdr:rowOff>
              </xdr:from>
              <xdr:to>
                <xdr:col>3</xdr:col>
                <xdr:colOff>-29</xdr:colOff>
                <xdr:row>6</xdr:row>
                <xdr:rowOff>8</xdr:rowOff>
              </xdr:to>
            </anchor>
          </commentPr>
        </mc:Choice>
        <mc:Fallback/>
      </mc:AlternateContent>
    </comment>
    <comment ref="D26" authorId="0">
      <text>
        <r>
          <rPr>
            <sz val="10"/>
            <rFont val="Arial"/>
            <family val="2"/>
          </rPr>
          <t xml:space="preserve">Source: user-provided annual compensation table, reviewed 7–8 September 2026; field: Position. Rotation is confirmed; expatriate contract treatment remains subject to confirmation.</t>
        </r>
      </text>
      <mc:AlternateContent>
        <mc:Choice Requires="v2">
          <commentPr autoFill="true" autoScale="false" colHidden="false" locked="false" rowHidden="false" textHAlign="justify" textVAlign="top">
            <anchor moveWithCells="false" sizeWithCells="false">
              <xdr:from>
                <xdr:col>2</xdr:col>
                <xdr:colOff>29</xdr:colOff>
                <xdr:row>0</xdr:row>
                <xdr:rowOff>2</xdr:rowOff>
              </xdr:from>
              <xdr:to>
                <xdr:col>3</xdr:col>
                <xdr:colOff>-29</xdr:colOff>
                <xdr:row>6</xdr:row>
                <xdr:rowOff>8</xdr:rowOff>
              </xdr:to>
            </anchor>
          </commentPr>
        </mc:Choice>
        <mc:Fallback/>
      </mc:AlternateContent>
    </comment>
    <comment ref="D27" authorId="0">
      <text>
        <r>
          <rPr>
            <sz val="10"/>
            <rFont val="Arial"/>
            <family val="2"/>
          </rPr>
          <t xml:space="preserve">Source: user-provided annual compensation table, reviewed 7–8 September 2026; field: Position. Local / staff-house approach; no cash housing allowance modeled.</t>
        </r>
      </text>
      <mc:AlternateContent>
        <mc:Choice Requires="v2">
          <commentPr autoFill="true" autoScale="false" colHidden="false" locked="false" rowHidden="false" textHAlign="justify" textVAlign="top">
            <anchor moveWithCells="false" sizeWithCells="false">
              <xdr:from>
                <xdr:col>2</xdr:col>
                <xdr:colOff>29</xdr:colOff>
                <xdr:row>0</xdr:row>
                <xdr:rowOff>2</xdr:rowOff>
              </xdr:from>
              <xdr:to>
                <xdr:col>3</xdr:col>
                <xdr:colOff>-29</xdr:colOff>
                <xdr:row>5</xdr:row>
                <xdr:rowOff>13</xdr:rowOff>
              </xdr:to>
            </anchor>
          </commentPr>
        </mc:Choice>
        <mc:Fallback/>
      </mc:AlternateContent>
    </comment>
    <comment ref="D28" authorId="0">
      <text>
        <r>
          <rPr>
            <sz val="10"/>
            <rFont val="Arial"/>
            <family val="2"/>
          </rPr>
          <t xml:space="preserve">Source: user-provided annual compensation table, reviewed 7–8 September 2026; field: Position. Open role; salary is a budget placeholder. Contract and benefits remain TBD.</t>
        </r>
      </text>
      <mc:AlternateContent>
        <mc:Choice Requires="v2">
          <commentPr autoFill="true" autoScale="false" colHidden="false" locked="false" rowHidden="false" textHAlign="justify" textVAlign="top">
            <anchor moveWithCells="false" sizeWithCells="false">
              <xdr:from>
                <xdr:col>2</xdr:col>
                <xdr:colOff>29</xdr:colOff>
                <xdr:row>0</xdr:row>
                <xdr:rowOff>2</xdr:rowOff>
              </xdr:from>
              <xdr:to>
                <xdr:col>3</xdr:col>
                <xdr:colOff>-29</xdr:colOff>
                <xdr:row>6</xdr:row>
                <xdr:rowOff>8</xdr:rowOff>
              </xdr:to>
            </anchor>
          </commentPr>
        </mc:Choice>
        <mc:Fallback/>
      </mc:AlternateContent>
    </comment>
    <comment ref="D29" authorId="0">
      <text>
        <r>
          <rPr>
            <sz val="10"/>
            <rFont val="Arial"/>
            <family val="2"/>
          </rPr>
          <t xml:space="preserve">Source: user-provided annual compensation table, reviewed 7–8 September 2026; field: Position. Already assigned to the project as a local secondee. PU pays salary; 30 paid vacation days apply.</t>
        </r>
      </text>
      <mc:AlternateContent>
        <mc:Choice Requires="v2">
          <commentPr autoFill="true" autoScale="false" colHidden="false" locked="false" rowHidden="false" textHAlign="justify" textVAlign="top">
            <anchor moveWithCells="false" sizeWithCells="false">
              <xdr:from>
                <xdr:col>2</xdr:col>
                <xdr:colOff>29</xdr:colOff>
                <xdr:row>0</xdr:row>
                <xdr:rowOff>2</xdr:rowOff>
              </xdr:from>
              <xdr:to>
                <xdr:col>3</xdr:col>
                <xdr:colOff>-29</xdr:colOff>
                <xdr:row>7</xdr:row>
                <xdr:rowOff>3</xdr:rowOff>
              </xdr:to>
            </anchor>
          </commentPr>
        </mc:Choice>
        <mc:Fallback/>
      </mc:AlternateContent>
    </comment>
    <comment ref="E21" authorId="0">
      <text>
        <r>
          <rPr>
            <sz val="10"/>
            <rFont val="Arial"/>
            <family val="2"/>
          </rPr>
          <t xml:space="preserve">Source: management instruction in this task through 7–8 September 2026. M1–M6 contract: Repatriate. One-time M7 transition package. Origin-country employee tax assumption; no company gross-up modeled.</t>
        </r>
      </text>
      <mc:AlternateContent>
        <mc:Choice Requires="v2">
          <commentPr autoFill="true" autoScale="false" colHidden="false" locked="false" rowHidden="false" textHAlign="justify" textVAlign="top">
            <anchor moveWithCells="false" sizeWithCells="false">
              <xdr:from>
                <xdr:col>2</xdr:col>
                <xdr:colOff>29</xdr:colOff>
                <xdr:row>0</xdr:row>
                <xdr:rowOff>2</xdr:rowOff>
              </xdr:from>
              <xdr:to>
                <xdr:col>3</xdr:col>
                <xdr:colOff>-29</xdr:colOff>
                <xdr:row>7</xdr:row>
                <xdr:rowOff>33</xdr:rowOff>
              </xdr:to>
            </anchor>
          </commentPr>
        </mc:Choice>
        <mc:Fallback/>
      </mc:AlternateContent>
    </comment>
    <comment ref="E22" authorId="0">
      <text>
        <r>
          <rPr>
            <sz val="10"/>
            <rFont val="Arial"/>
            <family val="2"/>
          </rPr>
          <t xml:space="preserve">Source: management instruction in this task through 7–8 September 2026. M1–M6 contract: Repatriate. Initial PU secondee. PU pays modeled cost; one-time M7 transition package applies.</t>
        </r>
      </text>
      <mc:AlternateContent>
        <mc:Choice Requires="v2">
          <commentPr autoFill="true" autoScale="false" colHidden="false" locked="false" rowHidden="false" textHAlign="justify" textVAlign="top">
            <anchor moveWithCells="false" sizeWithCells="false">
              <xdr:from>
                <xdr:col>2</xdr:col>
                <xdr:colOff>29</xdr:colOff>
                <xdr:row>0</xdr:row>
                <xdr:rowOff>2</xdr:rowOff>
              </xdr:from>
              <xdr:to>
                <xdr:col>3</xdr:col>
                <xdr:colOff>-29</xdr:colOff>
                <xdr:row>7</xdr:row>
                <xdr:rowOff>3</xdr:rowOff>
              </xdr:to>
            </anchor>
          </commentPr>
        </mc:Choice>
        <mc:Fallback/>
      </mc:AlternateContent>
    </comment>
    <comment ref="E23" authorId="0">
      <text>
        <r>
          <rPr>
            <sz val="10"/>
            <rFont val="Arial"/>
            <family val="2"/>
          </rPr>
          <t xml:space="preserve">Source: management instruction in this task through 7–8 September 2026. M1–M6 contract: Repatriate. One-time M7 transition package. Origin-country employee tax assumption; no company gross-up modeled.</t>
        </r>
      </text>
      <mc:AlternateContent>
        <mc:Choice Requires="v2">
          <commentPr autoFill="true" autoScale="false" colHidden="false" locked="false" rowHidden="false" textHAlign="justify" textVAlign="top">
            <anchor moveWithCells="false" sizeWithCells="false">
              <xdr:from>
                <xdr:col>2</xdr:col>
                <xdr:colOff>29</xdr:colOff>
                <xdr:row>0</xdr:row>
                <xdr:rowOff>2</xdr:rowOff>
              </xdr:from>
              <xdr:to>
                <xdr:col>3</xdr:col>
                <xdr:colOff>-29</xdr:colOff>
                <xdr:row>7</xdr:row>
                <xdr:rowOff>33</xdr:rowOff>
              </xdr:to>
            </anchor>
          </commentPr>
        </mc:Choice>
        <mc:Fallback/>
      </mc:AlternateContent>
    </comment>
    <comment ref="E24" authorId="0">
      <text>
        <r>
          <rPr>
            <sz val="10"/>
            <rFont val="Arial"/>
            <family val="2"/>
          </rPr>
          <t xml:space="preserve">Source: management instruction in this task through 7–8 September 2026. M1–M6 contract: Expat. Initial PU secondee. Approved family relocation to Maracaibo; $2,000/month housing from M7 and home leave stated as a non-costed benefit.</t>
        </r>
      </text>
      <mc:AlternateContent>
        <mc:Choice Requires="v2">
          <commentPr autoFill="true" autoScale="false" colHidden="false" locked="false" rowHidden="false" textHAlign="justify" textVAlign="top">
            <anchor moveWithCells="false" sizeWithCells="false">
              <xdr:from>
                <xdr:col>2</xdr:col>
                <xdr:colOff>29</xdr:colOff>
                <xdr:row>0</xdr:row>
                <xdr:rowOff>2</xdr:rowOff>
              </xdr:from>
              <xdr:to>
                <xdr:col>3</xdr:col>
                <xdr:colOff>-29</xdr:colOff>
                <xdr:row>7</xdr:row>
                <xdr:rowOff>48</xdr:rowOff>
              </xdr:to>
            </anchor>
          </commentPr>
        </mc:Choice>
        <mc:Fallback/>
      </mc:AlternateContent>
    </comment>
    <comment ref="E25" authorId="0">
      <text>
        <r>
          <rPr>
            <sz val="10"/>
            <rFont val="Arial"/>
            <family val="2"/>
          </rPr>
          <t xml:space="preserve">Source: management instruction in this task through 7–8 September 2026. M1–M6 contract: Local. Remote designation and local benefit treatment remain subject to confirmation.</t>
        </r>
      </text>
      <mc:AlternateContent>
        <mc:Choice Requires="v2">
          <commentPr autoFill="true" autoScale="false" colHidden="false" locked="false" rowHidden="false" textHAlign="justify" textVAlign="top">
            <anchor moveWithCells="false" sizeWithCells="false">
              <xdr:from>
                <xdr:col>2</xdr:col>
                <xdr:colOff>29</xdr:colOff>
                <xdr:row>0</xdr:row>
                <xdr:rowOff>2</xdr:rowOff>
              </xdr:from>
              <xdr:to>
                <xdr:col>3</xdr:col>
                <xdr:colOff>-29</xdr:colOff>
                <xdr:row>7</xdr:row>
                <xdr:rowOff>3</xdr:rowOff>
              </xdr:to>
            </anchor>
          </commentPr>
        </mc:Choice>
        <mc:Fallback/>
      </mc:AlternateContent>
    </comment>
    <comment ref="E26" authorId="0">
      <text>
        <r>
          <rPr>
            <sz val="10"/>
            <rFont val="Arial"/>
            <family val="2"/>
          </rPr>
          <t xml:space="preserve">Source: management instruction in this task through 7–8 September 2026. M1–M6 contract: Expat. Rotation is confirmed; expatriate contract treatment remains subject to confirmation.</t>
        </r>
      </text>
      <mc:AlternateContent>
        <mc:Choice Requires="v2">
          <commentPr autoFill="true" autoScale="false" colHidden="false" locked="false" rowHidden="false" textHAlign="justify" textVAlign="top">
            <anchor moveWithCells="false" sizeWithCells="false">
              <xdr:from>
                <xdr:col>2</xdr:col>
                <xdr:colOff>29</xdr:colOff>
                <xdr:row>0</xdr:row>
                <xdr:rowOff>2</xdr:rowOff>
              </xdr:from>
              <xdr:to>
                <xdr:col>3</xdr:col>
                <xdr:colOff>-29</xdr:colOff>
                <xdr:row>7</xdr:row>
                <xdr:rowOff>3</xdr:rowOff>
              </xdr:to>
            </anchor>
          </commentPr>
        </mc:Choice>
        <mc:Fallback/>
      </mc:AlternateContent>
    </comment>
    <comment ref="E27" authorId="0">
      <text>
        <r>
          <rPr>
            <sz val="10"/>
            <rFont val="Arial"/>
            <family val="2"/>
          </rPr>
          <t xml:space="preserve">Source: management instruction in this task through 7–8 September 2026. M1–M6 contract: Local. Local / staff-house approach; no cash housing allowance modeled.</t>
        </r>
      </text>
      <mc:AlternateContent>
        <mc:Choice Requires="v2">
          <commentPr autoFill="true" autoScale="false" colHidden="false" locked="false" rowHidden="false" textHAlign="justify" textVAlign="top">
            <anchor moveWithCells="false" sizeWithCells="false">
              <xdr:from>
                <xdr:col>2</xdr:col>
                <xdr:colOff>29</xdr:colOff>
                <xdr:row>0</xdr:row>
                <xdr:rowOff>2</xdr:rowOff>
              </xdr:from>
              <xdr:to>
                <xdr:col>3</xdr:col>
                <xdr:colOff>-29</xdr:colOff>
                <xdr:row>6</xdr:row>
                <xdr:rowOff>8</xdr:rowOff>
              </xdr:to>
            </anchor>
          </commentPr>
        </mc:Choice>
        <mc:Fallback/>
      </mc:AlternateContent>
    </comment>
    <comment ref="E28" authorId="0">
      <text>
        <r>
          <rPr>
            <sz val="10"/>
            <rFont val="Arial"/>
            <family val="2"/>
          </rPr>
          <t xml:space="preserve">Source: management instruction in this task through 7–8 September 2026. M1–M6 contract: TBD. Open role; salary is a budget placeholder. Contract and benefits remain TBD.</t>
        </r>
      </text>
      <mc:AlternateContent>
        <mc:Choice Requires="v2">
          <commentPr autoFill="true" autoScale="false" colHidden="false" locked="false" rowHidden="false" textHAlign="justify" textVAlign="top">
            <anchor moveWithCells="false" sizeWithCells="false">
              <xdr:from>
                <xdr:col>2</xdr:col>
                <xdr:colOff>29</xdr:colOff>
                <xdr:row>0</xdr:row>
                <xdr:rowOff>2</xdr:rowOff>
              </xdr:from>
              <xdr:to>
                <xdr:col>3</xdr:col>
                <xdr:colOff>-29</xdr:colOff>
                <xdr:row>6</xdr:row>
                <xdr:rowOff>8</xdr:rowOff>
              </xdr:to>
            </anchor>
          </commentPr>
        </mc:Choice>
        <mc:Fallback/>
      </mc:AlternateContent>
    </comment>
    <comment ref="E29" authorId="0">
      <text>
        <r>
          <rPr>
            <sz val="10"/>
            <rFont val="Arial"/>
            <family val="2"/>
          </rPr>
          <t xml:space="preserve">Source: management instruction in this task through 7–8 September 2026. M1–M6 contract: Local Secondee. Already assigned to the project as a local secondee. PU pays salary; 30 paid vacation days apply.</t>
        </r>
      </text>
      <mc:AlternateContent>
        <mc:Choice Requires="v2">
          <commentPr autoFill="true" autoScale="false" colHidden="false" locked="false" rowHidden="false" textHAlign="justify" textVAlign="top">
            <anchor moveWithCells="false" sizeWithCells="false">
              <xdr:from>
                <xdr:col>2</xdr:col>
                <xdr:colOff>29</xdr:colOff>
                <xdr:row>0</xdr:row>
                <xdr:rowOff>2</xdr:rowOff>
              </xdr:from>
              <xdr:to>
                <xdr:col>3</xdr:col>
                <xdr:colOff>-29</xdr:colOff>
                <xdr:row>7</xdr:row>
                <xdr:rowOff>18</xdr:rowOff>
              </xdr:to>
            </anchor>
          </commentPr>
        </mc:Choice>
        <mc:Fallback/>
      </mc:AlternateContent>
    </comment>
    <comment ref="F21" authorId="0">
      <text>
        <r>
          <rPr>
            <sz val="10"/>
            <rFont val="Arial"/>
            <family val="2"/>
          </rPr>
          <t xml:space="preserve">Source: management instruction in this task through 7–8 September 2026. M7+ basis: Local — Venezuela. One-time M7 transition package. Origin-country employee tax assumption; no company gross-up modeled.</t>
        </r>
      </text>
      <mc:AlternateContent>
        <mc:Choice Requires="v2">
          <commentPr autoFill="true" autoScale="false" colHidden="false" locked="false" rowHidden="false" textHAlign="justify" textVAlign="top">
            <anchor moveWithCells="false" sizeWithCells="false">
              <xdr:from>
                <xdr:col>2</xdr:col>
                <xdr:colOff>29</xdr:colOff>
                <xdr:row>0</xdr:row>
                <xdr:rowOff>2</xdr:rowOff>
              </xdr:from>
              <xdr:to>
                <xdr:col>3</xdr:col>
                <xdr:colOff>-29</xdr:colOff>
                <xdr:row>7</xdr:row>
                <xdr:rowOff>33</xdr:rowOff>
              </xdr:to>
            </anchor>
          </commentPr>
        </mc:Choice>
        <mc:Fallback/>
      </mc:AlternateContent>
    </comment>
    <comment ref="F22" authorId="0">
      <text>
        <r>
          <rPr>
            <sz val="10"/>
            <rFont val="Arial"/>
            <family val="2"/>
          </rPr>
          <t xml:space="preserve">Source: management instruction in this task through 7–8 September 2026. M7+ basis: Local — Venezuela. Initial PU secondee. PU pays modeled cost; one-time M7 transition package applies.</t>
        </r>
      </text>
      <mc:AlternateContent>
        <mc:Choice Requires="v2">
          <commentPr autoFill="true" autoScale="false" colHidden="false" locked="false" rowHidden="false" textHAlign="justify" textVAlign="top">
            <anchor moveWithCells="false" sizeWithCells="false">
              <xdr:from>
                <xdr:col>2</xdr:col>
                <xdr:colOff>29</xdr:colOff>
                <xdr:row>0</xdr:row>
                <xdr:rowOff>2</xdr:rowOff>
              </xdr:from>
              <xdr:to>
                <xdr:col>3</xdr:col>
                <xdr:colOff>-29</xdr:colOff>
                <xdr:row>7</xdr:row>
                <xdr:rowOff>3</xdr:rowOff>
              </xdr:to>
            </anchor>
          </commentPr>
        </mc:Choice>
        <mc:Fallback/>
      </mc:AlternateContent>
    </comment>
    <comment ref="F23" authorId="0">
      <text>
        <r>
          <rPr>
            <sz val="10"/>
            <rFont val="Arial"/>
            <family val="2"/>
          </rPr>
          <t xml:space="preserve">Source: management instruction in this task through 7–8 September 2026. M7+ basis: Local — Venezuela. One-time M7 transition package. Origin-country employee tax assumption; no company gross-up modeled.</t>
        </r>
      </text>
      <mc:AlternateContent>
        <mc:Choice Requires="v2">
          <commentPr autoFill="true" autoScale="false" colHidden="false" locked="false" rowHidden="false" textHAlign="justify" textVAlign="top">
            <anchor moveWithCells="false" sizeWithCells="false">
              <xdr:from>
                <xdr:col>2</xdr:col>
                <xdr:colOff>29</xdr:colOff>
                <xdr:row>0</xdr:row>
                <xdr:rowOff>2</xdr:rowOff>
              </xdr:from>
              <xdr:to>
                <xdr:col>3</xdr:col>
                <xdr:colOff>-29</xdr:colOff>
                <xdr:row>7</xdr:row>
                <xdr:rowOff>33</xdr:rowOff>
              </xdr:to>
            </anchor>
          </commentPr>
        </mc:Choice>
        <mc:Fallback/>
      </mc:AlternateContent>
    </comment>
    <comment ref="F24" authorId="0">
      <text>
        <r>
          <rPr>
            <sz val="10"/>
            <rFont val="Arial"/>
            <family val="2"/>
          </rPr>
          <t xml:space="preserve">Source: management instruction in this task through 7–8 September 2026. M7+ basis: Expat. Initial PU secondee. Approved family relocation to Maracaibo; $2,000/month housing from M7 and home leave stated as a non-costed benefit.</t>
        </r>
      </text>
      <mc:AlternateContent>
        <mc:Choice Requires="v2">
          <commentPr autoFill="true" autoScale="false" colHidden="false" locked="false" rowHidden="false" textHAlign="justify" textVAlign="top">
            <anchor moveWithCells="false" sizeWithCells="false">
              <xdr:from>
                <xdr:col>2</xdr:col>
                <xdr:colOff>29</xdr:colOff>
                <xdr:row>0</xdr:row>
                <xdr:rowOff>2</xdr:rowOff>
              </xdr:from>
              <xdr:to>
                <xdr:col>3</xdr:col>
                <xdr:colOff>-29</xdr:colOff>
                <xdr:row>7</xdr:row>
                <xdr:rowOff>33</xdr:rowOff>
              </xdr:to>
            </anchor>
          </commentPr>
        </mc:Choice>
        <mc:Fallback/>
      </mc:AlternateContent>
    </comment>
    <comment ref="F25" authorId="0">
      <text>
        <r>
          <rPr>
            <sz val="10"/>
            <rFont val="Arial"/>
            <family val="2"/>
          </rPr>
          <t xml:space="preserve">Source: management instruction in this task through 7–8 September 2026. M7+ basis: Local. Remote designation and local benefit treatment remain subject to confirmation.</t>
        </r>
      </text>
      <mc:AlternateContent>
        <mc:Choice Requires="v2">
          <commentPr autoFill="true" autoScale="false" colHidden="false" locked="false" rowHidden="false" textHAlign="justify" textVAlign="top">
            <anchor moveWithCells="false" sizeWithCells="false">
              <xdr:from>
                <xdr:col>2</xdr:col>
                <xdr:colOff>29</xdr:colOff>
                <xdr:row>0</xdr:row>
                <xdr:rowOff>2</xdr:rowOff>
              </xdr:from>
              <xdr:to>
                <xdr:col>3</xdr:col>
                <xdr:colOff>-29</xdr:colOff>
                <xdr:row>6</xdr:row>
                <xdr:rowOff>8</xdr:rowOff>
              </xdr:to>
            </anchor>
          </commentPr>
        </mc:Choice>
        <mc:Fallback/>
      </mc:AlternateContent>
    </comment>
    <comment ref="F26" authorId="0">
      <text>
        <r>
          <rPr>
            <sz val="10"/>
            <rFont val="Arial"/>
            <family val="2"/>
          </rPr>
          <t xml:space="preserve">Source: management instruction in this task through 7–8 September 2026. M7+ basis: Expat. Rotation is confirmed; expatriate contract treatment remains subject to confirmation.</t>
        </r>
      </text>
      <mc:AlternateContent>
        <mc:Choice Requires="v2">
          <commentPr autoFill="true" autoScale="false" colHidden="false" locked="false" rowHidden="false" textHAlign="justify" textVAlign="top">
            <anchor moveWithCells="false" sizeWithCells="false">
              <xdr:from>
                <xdr:col>2</xdr:col>
                <xdr:colOff>29</xdr:colOff>
                <xdr:row>0</xdr:row>
                <xdr:rowOff>2</xdr:rowOff>
              </xdr:from>
              <xdr:to>
                <xdr:col>3</xdr:col>
                <xdr:colOff>-29</xdr:colOff>
                <xdr:row>7</xdr:row>
                <xdr:rowOff>3</xdr:rowOff>
              </xdr:to>
            </anchor>
          </commentPr>
        </mc:Choice>
        <mc:Fallback/>
      </mc:AlternateContent>
    </comment>
    <comment ref="F27" authorId="0">
      <text>
        <r>
          <rPr>
            <sz val="10"/>
            <rFont val="Arial"/>
            <family val="2"/>
          </rPr>
          <t xml:space="preserve">Source: management instruction in this task through 7–8 September 2026. M7+ basis: Local. Local / staff-house approach; no cash housing allowance modeled.</t>
        </r>
      </text>
      <mc:AlternateContent>
        <mc:Choice Requires="v2">
          <commentPr autoFill="true" autoScale="false" colHidden="false" locked="false" rowHidden="false" textHAlign="justify" textVAlign="top">
            <anchor moveWithCells="false" sizeWithCells="false">
              <xdr:from>
                <xdr:col>2</xdr:col>
                <xdr:colOff>29</xdr:colOff>
                <xdr:row>0</xdr:row>
                <xdr:rowOff>2</xdr:rowOff>
              </xdr:from>
              <xdr:to>
                <xdr:col>3</xdr:col>
                <xdr:colOff>-29</xdr:colOff>
                <xdr:row>5</xdr:row>
                <xdr:rowOff>13</xdr:rowOff>
              </xdr:to>
            </anchor>
          </commentPr>
        </mc:Choice>
        <mc:Fallback/>
      </mc:AlternateContent>
    </comment>
    <comment ref="F28" authorId="0">
      <text>
        <r>
          <rPr>
            <sz val="10"/>
            <rFont val="Arial"/>
            <family val="2"/>
          </rPr>
          <t xml:space="preserve">Source: management instruction in this task through 7–8 September 2026. M7+ basis: TBD. Open role; salary is a budget placeholder. Contract and benefits remain TBD.</t>
        </r>
      </text>
      <mc:AlternateContent>
        <mc:Choice Requires="v2">
          <commentPr autoFill="true" autoScale="false" colHidden="false" locked="false" rowHidden="false" textHAlign="justify" textVAlign="top">
            <anchor moveWithCells="false" sizeWithCells="false">
              <xdr:from>
                <xdr:col>2</xdr:col>
                <xdr:colOff>29</xdr:colOff>
                <xdr:row>0</xdr:row>
                <xdr:rowOff>2</xdr:rowOff>
              </xdr:from>
              <xdr:to>
                <xdr:col>3</xdr:col>
                <xdr:colOff>-29</xdr:colOff>
                <xdr:row>6</xdr:row>
                <xdr:rowOff>8</xdr:rowOff>
              </xdr:to>
            </anchor>
          </commentPr>
        </mc:Choice>
        <mc:Fallback/>
      </mc:AlternateContent>
    </comment>
    <comment ref="F29" authorId="0">
      <text>
        <r>
          <rPr>
            <sz val="10"/>
            <rFont val="Arial"/>
            <family val="2"/>
          </rPr>
          <t xml:space="preserve">Source: management instruction in this task through 7–8 September 2026. M7+ basis: Local. Already assigned to the project as a local secondee. PU pays salary; 30 paid vacation days apply.</t>
        </r>
      </text>
      <mc:AlternateContent>
        <mc:Choice Requires="v2">
          <commentPr autoFill="true" autoScale="false" colHidden="false" locked="false" rowHidden="false" textHAlign="justify" textVAlign="top">
            <anchor moveWithCells="false" sizeWithCells="false">
              <xdr:from>
                <xdr:col>2</xdr:col>
                <xdr:colOff>29</xdr:colOff>
                <xdr:row>0</xdr:row>
                <xdr:rowOff>2</xdr:rowOff>
              </xdr:from>
              <xdr:to>
                <xdr:col>3</xdr:col>
                <xdr:colOff>-29</xdr:colOff>
                <xdr:row>7</xdr:row>
                <xdr:rowOff>3</xdr:rowOff>
              </xdr:to>
            </anchor>
          </commentPr>
        </mc:Choice>
        <mc:Fallback/>
      </mc:AlternateContent>
    </comment>
    <comment ref="G21" authorId="0">
      <text>
        <r>
          <rPr>
            <sz val="10"/>
            <rFont val="Arial"/>
            <family val="2"/>
          </rPr>
          <t xml:space="preserve">Source: management instruction in this task through 7–8 September 2026. PU pays the costs of Alexander Stulme, Alan McKeon and Martin Aguero as secondees.</t>
        </r>
      </text>
      <mc:AlternateContent>
        <mc:Choice Requires="v2">
          <commentPr autoFill="true" autoScale="false" colHidden="false" locked="false" rowHidden="false" textHAlign="justify" textVAlign="top">
            <anchor moveWithCells="false" sizeWithCells="false">
              <xdr:from>
                <xdr:col>2</xdr:col>
                <xdr:colOff>29</xdr:colOff>
                <xdr:row>0</xdr:row>
                <xdr:rowOff>2</xdr:rowOff>
              </xdr:from>
              <xdr:to>
                <xdr:col>3</xdr:col>
                <xdr:colOff>-29</xdr:colOff>
                <xdr:row>6</xdr:row>
                <xdr:rowOff>8</xdr:rowOff>
              </xdr:to>
            </anchor>
          </commentPr>
        </mc:Choice>
        <mc:Fallback/>
      </mc:AlternateContent>
    </comment>
    <comment ref="G22" authorId="0">
      <text>
        <r>
          <rPr>
            <sz val="10"/>
            <rFont val="Arial"/>
            <family val="2"/>
          </rPr>
          <t xml:space="preserve">Source: management instruction in this task through 7–8 September 2026. PU pays the costs of Alexander Stulme, Alan McKeon and Martin Aguero as secondees.</t>
        </r>
      </text>
      <mc:AlternateContent>
        <mc:Choice Requires="v2">
          <commentPr autoFill="true" autoScale="false" colHidden="false" locked="false" rowHidden="false" textHAlign="justify" textVAlign="top">
            <anchor moveWithCells="false" sizeWithCells="false">
              <xdr:from>
                <xdr:col>2</xdr:col>
                <xdr:colOff>29</xdr:colOff>
                <xdr:row>0</xdr:row>
                <xdr:rowOff>2</xdr:rowOff>
              </xdr:from>
              <xdr:to>
                <xdr:col>3</xdr:col>
                <xdr:colOff>-29</xdr:colOff>
                <xdr:row>6</xdr:row>
                <xdr:rowOff>8</xdr:rowOff>
              </xdr:to>
            </anchor>
          </commentPr>
        </mc:Choice>
        <mc:Fallback/>
      </mc:AlternateContent>
    </comment>
    <comment ref="G23" authorId="0">
      <text>
        <r>
          <rPr>
            <sz val="10"/>
            <rFont val="Arial"/>
            <family val="2"/>
          </rPr>
          <t xml:space="preserve">Source: management instruction in this task through 7–8 September 2026. PU pays the costs of Alexander Stulme, Alan McKeon and Martin Aguero as secondees.</t>
        </r>
      </text>
      <mc:AlternateContent>
        <mc:Choice Requires="v2">
          <commentPr autoFill="true" autoScale="false" colHidden="false" locked="false" rowHidden="false" textHAlign="justify" textVAlign="top">
            <anchor moveWithCells="false" sizeWithCells="false">
              <xdr:from>
                <xdr:col>2</xdr:col>
                <xdr:colOff>29</xdr:colOff>
                <xdr:row>0</xdr:row>
                <xdr:rowOff>2</xdr:rowOff>
              </xdr:from>
              <xdr:to>
                <xdr:col>3</xdr:col>
                <xdr:colOff>-29</xdr:colOff>
                <xdr:row>6</xdr:row>
                <xdr:rowOff>8</xdr:rowOff>
              </xdr:to>
            </anchor>
          </commentPr>
        </mc:Choice>
        <mc:Fallback/>
      </mc:AlternateContent>
    </comment>
    <comment ref="G24" authorId="0">
      <text>
        <r>
          <rPr>
            <sz val="10"/>
            <rFont val="Arial"/>
            <family val="2"/>
          </rPr>
          <t xml:space="preserve">Source: management instruction in this task through 7–8 September 2026. PU pays the costs of Alexander Stulme, Alan McKeon and Martin Aguero as secondees.</t>
        </r>
      </text>
      <mc:AlternateContent>
        <mc:Choice Requires="v2">
          <commentPr autoFill="true" autoScale="false" colHidden="false" locked="false" rowHidden="false" textHAlign="justify" textVAlign="top">
            <anchor moveWithCells="false" sizeWithCells="false">
              <xdr:from>
                <xdr:col>2</xdr:col>
                <xdr:colOff>29</xdr:colOff>
                <xdr:row>0</xdr:row>
                <xdr:rowOff>2</xdr:rowOff>
              </xdr:from>
              <xdr:to>
                <xdr:col>3</xdr:col>
                <xdr:colOff>-29</xdr:colOff>
                <xdr:row>6</xdr:row>
                <xdr:rowOff>8</xdr:rowOff>
              </xdr:to>
            </anchor>
          </commentPr>
        </mc:Choice>
        <mc:Fallback/>
      </mc:AlternateContent>
    </comment>
    <comment ref="G25" authorId="0">
      <text>
        <r>
          <rPr>
            <sz val="10"/>
            <rFont val="Arial"/>
            <family val="2"/>
          </rPr>
          <t xml:space="preserve">Source: management instruction in this task through 7–8 September 2026. PU pays the costs of Alexander Stulme, Alan McKeon and Martin Aguero as secondees.</t>
        </r>
      </text>
      <mc:AlternateContent>
        <mc:Choice Requires="v2">
          <commentPr autoFill="true" autoScale="false" colHidden="false" locked="false" rowHidden="false" textHAlign="justify" textVAlign="top">
            <anchor moveWithCells="false" sizeWithCells="false">
              <xdr:from>
                <xdr:col>2</xdr:col>
                <xdr:colOff>29</xdr:colOff>
                <xdr:row>0</xdr:row>
                <xdr:rowOff>2</xdr:rowOff>
              </xdr:from>
              <xdr:to>
                <xdr:col>3</xdr:col>
                <xdr:colOff>-29</xdr:colOff>
                <xdr:row>6</xdr:row>
                <xdr:rowOff>8</xdr:rowOff>
              </xdr:to>
            </anchor>
          </commentPr>
        </mc:Choice>
        <mc:Fallback/>
      </mc:AlternateContent>
    </comment>
    <comment ref="G26" authorId="0">
      <text>
        <r>
          <rPr>
            <sz val="10"/>
            <rFont val="Arial"/>
            <family val="2"/>
          </rPr>
          <t xml:space="preserve">Source: management instruction in this task through 7–8 September 2026. PU pays the costs of Alexander Stulme, Alan McKeon and Martin Aguero as secondees.</t>
        </r>
      </text>
      <mc:AlternateContent>
        <mc:Choice Requires="v2">
          <commentPr autoFill="true" autoScale="false" colHidden="false" locked="false" rowHidden="false" textHAlign="justify" textVAlign="top">
            <anchor moveWithCells="false" sizeWithCells="false">
              <xdr:from>
                <xdr:col>2</xdr:col>
                <xdr:colOff>29</xdr:colOff>
                <xdr:row>0</xdr:row>
                <xdr:rowOff>2</xdr:rowOff>
              </xdr:from>
              <xdr:to>
                <xdr:col>3</xdr:col>
                <xdr:colOff>-29</xdr:colOff>
                <xdr:row>6</xdr:row>
                <xdr:rowOff>8</xdr:rowOff>
              </xdr:to>
            </anchor>
          </commentPr>
        </mc:Choice>
        <mc:Fallback/>
      </mc:AlternateContent>
    </comment>
    <comment ref="G27" authorId="0">
      <text>
        <r>
          <rPr>
            <sz val="10"/>
            <rFont val="Arial"/>
            <family val="2"/>
          </rPr>
          <t xml:space="preserve">Source: management instruction in this task through 7–8 September 2026. PU pays the costs of Alexander Stulme, Alan McKeon and Martin Aguero as secondees.</t>
        </r>
      </text>
      <mc:AlternateContent>
        <mc:Choice Requires="v2">
          <commentPr autoFill="true" autoScale="false" colHidden="false" locked="false" rowHidden="false" textHAlign="justify" textVAlign="top">
            <anchor moveWithCells="false" sizeWithCells="false">
              <xdr:from>
                <xdr:col>2</xdr:col>
                <xdr:colOff>29</xdr:colOff>
                <xdr:row>0</xdr:row>
                <xdr:rowOff>2</xdr:rowOff>
              </xdr:from>
              <xdr:to>
                <xdr:col>3</xdr:col>
                <xdr:colOff>-29</xdr:colOff>
                <xdr:row>6</xdr:row>
                <xdr:rowOff>8</xdr:rowOff>
              </xdr:to>
            </anchor>
          </commentPr>
        </mc:Choice>
        <mc:Fallback/>
      </mc:AlternateContent>
    </comment>
    <comment ref="G28" authorId="0">
      <text>
        <r>
          <rPr>
            <sz val="10"/>
            <rFont val="Arial"/>
            <family val="2"/>
          </rPr>
          <t xml:space="preserve">Source: management instruction in this task through 7–8 September 2026. PU pays the costs of Alexander Stulme, Alan McKeon and Martin Aguero as secondees.</t>
        </r>
      </text>
      <mc:AlternateContent>
        <mc:Choice Requires="v2">
          <commentPr autoFill="true" autoScale="false" colHidden="false" locked="false" rowHidden="false" textHAlign="justify" textVAlign="top">
            <anchor moveWithCells="false" sizeWithCells="false">
              <xdr:from>
                <xdr:col>2</xdr:col>
                <xdr:colOff>29</xdr:colOff>
                <xdr:row>0</xdr:row>
                <xdr:rowOff>2</xdr:rowOff>
              </xdr:from>
              <xdr:to>
                <xdr:col>3</xdr:col>
                <xdr:colOff>-29</xdr:colOff>
                <xdr:row>6</xdr:row>
                <xdr:rowOff>8</xdr:rowOff>
              </xdr:to>
            </anchor>
          </commentPr>
        </mc:Choice>
        <mc:Fallback/>
      </mc:AlternateContent>
    </comment>
    <comment ref="G29" authorId="0">
      <text>
        <r>
          <rPr>
            <sz val="10"/>
            <rFont val="Arial"/>
            <family val="2"/>
          </rPr>
          <t xml:space="preserve">Source: management instruction in this task through 7–8 September 2026. PU pays the costs of Alexander Stulme, Alan McKeon and Martin Aguero as secondees.</t>
        </r>
      </text>
      <mc:AlternateContent>
        <mc:Choice Requires="v2">
          <commentPr autoFill="true" autoScale="false" colHidden="false" locked="false" rowHidden="false" textHAlign="justify" textVAlign="top">
            <anchor moveWithCells="false" sizeWithCells="false">
              <xdr:from>
                <xdr:col>2</xdr:col>
                <xdr:colOff>29</xdr:colOff>
                <xdr:row>0</xdr:row>
                <xdr:rowOff>2</xdr:rowOff>
              </xdr:from>
              <xdr:to>
                <xdr:col>3</xdr:col>
                <xdr:colOff>-29</xdr:colOff>
                <xdr:row>6</xdr:row>
                <xdr:rowOff>8</xdr:rowOff>
              </xdr:to>
            </anchor>
          </commentPr>
        </mc:Choice>
        <mc:Fallback/>
      </mc:AlternateContent>
    </comment>
    <comment ref="H21" authorId="0">
      <text>
        <r>
          <rPr>
            <sz val="10"/>
            <rFont val="Arial"/>
            <family val="2"/>
          </rPr>
          <t xml:space="preserve">Source: management instruction in this task through 7–8 September 2026. M1–M6 rotation assumption: 21 days on / 14 days off. Two ticket legs per 35-day cycle, or 1.71 tickets per month. Martin Aguero is local and has no rotation ticket allowance.</t>
        </r>
      </text>
      <mc:AlternateContent>
        <mc:Choice Requires="v2">
          <commentPr autoFill="true" autoScale="false" colHidden="false" locked="false" rowHidden="false" textHAlign="justify" textVAlign="top">
            <anchor moveWithCells="false" sizeWithCells="false">
              <xdr:from>
                <xdr:col>2</xdr:col>
                <xdr:colOff>29</xdr:colOff>
                <xdr:row>0</xdr:row>
                <xdr:rowOff>2</xdr:rowOff>
              </xdr:from>
              <xdr:to>
                <xdr:col>3</xdr:col>
                <xdr:colOff>-29</xdr:colOff>
                <xdr:row>7</xdr:row>
                <xdr:rowOff>48</xdr:rowOff>
              </xdr:to>
            </anchor>
          </commentPr>
        </mc:Choice>
        <mc:Fallback/>
      </mc:AlternateContent>
    </comment>
    <comment ref="H22" authorId="0">
      <text>
        <r>
          <rPr>
            <sz val="10"/>
            <rFont val="Arial"/>
            <family val="2"/>
          </rPr>
          <t xml:space="preserve">Source: management instruction in this task through 7–8 September 2026. M1–M6 rotation assumption: 21 days on / 14 days off. Two ticket legs per 35-day cycle, or 1.71 tickets per month. Martin Aguero is local and has no rotation ticket allowance.</t>
        </r>
      </text>
      <mc:AlternateContent>
        <mc:Choice Requires="v2">
          <commentPr autoFill="true" autoScale="false" colHidden="false" locked="false" rowHidden="false" textHAlign="justify" textVAlign="top">
            <anchor moveWithCells="false" sizeWithCells="false">
              <xdr:from>
                <xdr:col>2</xdr:col>
                <xdr:colOff>29</xdr:colOff>
                <xdr:row>0</xdr:row>
                <xdr:rowOff>2</xdr:rowOff>
              </xdr:from>
              <xdr:to>
                <xdr:col>3</xdr:col>
                <xdr:colOff>-29</xdr:colOff>
                <xdr:row>7</xdr:row>
                <xdr:rowOff>48</xdr:rowOff>
              </xdr:to>
            </anchor>
          </commentPr>
        </mc:Choice>
        <mc:Fallback/>
      </mc:AlternateContent>
    </comment>
    <comment ref="H23" authorId="0">
      <text>
        <r>
          <rPr>
            <sz val="10"/>
            <rFont val="Arial"/>
            <family val="2"/>
          </rPr>
          <t xml:space="preserve">Source: management instruction in this task through 7–8 September 2026. M1–M6 rotation assumption: 21 days on / 14 days off. Two ticket legs per 35-day cycle, or 1.71 tickets per month. Martin Aguero is local and has no rotation ticket allowance.</t>
        </r>
      </text>
      <mc:AlternateContent>
        <mc:Choice Requires="v2">
          <commentPr autoFill="true" autoScale="false" colHidden="false" locked="false" rowHidden="false" textHAlign="justify" textVAlign="top">
            <anchor moveWithCells="false" sizeWithCells="false">
              <xdr:from>
                <xdr:col>2</xdr:col>
                <xdr:colOff>29</xdr:colOff>
                <xdr:row>0</xdr:row>
                <xdr:rowOff>2</xdr:rowOff>
              </xdr:from>
              <xdr:to>
                <xdr:col>3</xdr:col>
                <xdr:colOff>-29</xdr:colOff>
                <xdr:row>7</xdr:row>
                <xdr:rowOff>48</xdr:rowOff>
              </xdr:to>
            </anchor>
          </commentPr>
        </mc:Choice>
        <mc:Fallback/>
      </mc:AlternateContent>
    </comment>
    <comment ref="H24" authorId="0">
      <text>
        <r>
          <rPr>
            <sz val="10"/>
            <rFont val="Arial"/>
            <family val="2"/>
          </rPr>
          <t xml:space="preserve">Source: management instruction in this task through 7–8 September 2026. M1–M6 rotation assumption: 21 days on / 14 days off. Two ticket legs per 35-day cycle, or 1.71 tickets per month. Martin Aguero is local and has no rotation ticket allowance.</t>
        </r>
      </text>
      <mc:AlternateContent>
        <mc:Choice Requires="v2">
          <commentPr autoFill="true" autoScale="false" colHidden="false" locked="false" rowHidden="false" textHAlign="justify" textVAlign="top">
            <anchor moveWithCells="false" sizeWithCells="false">
              <xdr:from>
                <xdr:col>2</xdr:col>
                <xdr:colOff>29</xdr:colOff>
                <xdr:row>0</xdr:row>
                <xdr:rowOff>2</xdr:rowOff>
              </xdr:from>
              <xdr:to>
                <xdr:col>3</xdr:col>
                <xdr:colOff>-29</xdr:colOff>
                <xdr:row>7</xdr:row>
                <xdr:rowOff>48</xdr:rowOff>
              </xdr:to>
            </anchor>
          </commentPr>
        </mc:Choice>
        <mc:Fallback/>
      </mc:AlternateContent>
    </comment>
    <comment ref="H25" authorId="0">
      <text>
        <r>
          <rPr>
            <sz val="10"/>
            <rFont val="Arial"/>
            <family val="2"/>
          </rPr>
          <t xml:space="preserve">Source: management instruction in this task through 7–8 September 2026. M1–M6 rotation assumption: 21 days on / 14 days off. Two ticket legs per 35-day cycle, or 1.71 tickets per month. Martin Aguero is local and has no rotation ticket allowance.</t>
        </r>
      </text>
      <mc:AlternateContent>
        <mc:Choice Requires="v2">
          <commentPr autoFill="true" autoScale="false" colHidden="false" locked="false" rowHidden="false" textHAlign="justify" textVAlign="top">
            <anchor moveWithCells="false" sizeWithCells="false">
              <xdr:from>
                <xdr:col>2</xdr:col>
                <xdr:colOff>29</xdr:colOff>
                <xdr:row>0</xdr:row>
                <xdr:rowOff>2</xdr:rowOff>
              </xdr:from>
              <xdr:to>
                <xdr:col>3</xdr:col>
                <xdr:colOff>-29</xdr:colOff>
                <xdr:row>7</xdr:row>
                <xdr:rowOff>48</xdr:rowOff>
              </xdr:to>
            </anchor>
          </commentPr>
        </mc:Choice>
        <mc:Fallback/>
      </mc:AlternateContent>
    </comment>
    <comment ref="H26" authorId="0">
      <text>
        <r>
          <rPr>
            <sz val="10"/>
            <rFont val="Arial"/>
            <family val="2"/>
          </rPr>
          <t xml:space="preserve">Source: management instruction in this task through 7–8 September 2026. M1–M6 rotation assumption: 21 days on / 14 days off. Two ticket legs per 35-day cycle, or 1.71 tickets per month. Martin Aguero is local and has no rotation ticket allowance.</t>
        </r>
      </text>
      <mc:AlternateContent>
        <mc:Choice Requires="v2">
          <commentPr autoFill="true" autoScale="false" colHidden="false" locked="false" rowHidden="false" textHAlign="justify" textVAlign="top">
            <anchor moveWithCells="false" sizeWithCells="false">
              <xdr:from>
                <xdr:col>2</xdr:col>
                <xdr:colOff>29</xdr:colOff>
                <xdr:row>0</xdr:row>
                <xdr:rowOff>2</xdr:rowOff>
              </xdr:from>
              <xdr:to>
                <xdr:col>3</xdr:col>
                <xdr:colOff>-29</xdr:colOff>
                <xdr:row>7</xdr:row>
                <xdr:rowOff>48</xdr:rowOff>
              </xdr:to>
            </anchor>
          </commentPr>
        </mc:Choice>
        <mc:Fallback/>
      </mc:AlternateContent>
    </comment>
    <comment ref="H27" authorId="0">
      <text>
        <r>
          <rPr>
            <sz val="10"/>
            <rFont val="Arial"/>
            <family val="2"/>
          </rPr>
          <t xml:space="preserve">Source: management instruction in this task through 7–8 September 2026. M1–M6 rotation assumption: 21 days on / 14 days off. Two ticket legs per 35-day cycle, or 1.71 tickets per month. Martin Aguero is local and has no rotation ticket allowance.</t>
        </r>
      </text>
      <mc:AlternateContent>
        <mc:Choice Requires="v2">
          <commentPr autoFill="true" autoScale="false" colHidden="false" locked="false" rowHidden="false" textHAlign="justify" textVAlign="top">
            <anchor moveWithCells="false" sizeWithCells="false">
              <xdr:from>
                <xdr:col>2</xdr:col>
                <xdr:colOff>29</xdr:colOff>
                <xdr:row>0</xdr:row>
                <xdr:rowOff>2</xdr:rowOff>
              </xdr:from>
              <xdr:to>
                <xdr:col>3</xdr:col>
                <xdr:colOff>-29</xdr:colOff>
                <xdr:row>7</xdr:row>
                <xdr:rowOff>48</xdr:rowOff>
              </xdr:to>
            </anchor>
          </commentPr>
        </mc:Choice>
        <mc:Fallback/>
      </mc:AlternateContent>
    </comment>
    <comment ref="H28" authorId="0">
      <text>
        <r>
          <rPr>
            <sz val="10"/>
            <rFont val="Arial"/>
            <family val="2"/>
          </rPr>
          <t xml:space="preserve">Source: management instruction in this task through 7–8 September 2026. M1–M6 rotation assumption: 21 days on / 14 days off. Two ticket legs per 35-day cycle, or 1.71 tickets per month. Martin Aguero is local and has no rotation ticket allowance.</t>
        </r>
      </text>
      <mc:AlternateContent>
        <mc:Choice Requires="v2">
          <commentPr autoFill="true" autoScale="false" colHidden="false" locked="false" rowHidden="false" textHAlign="justify" textVAlign="top">
            <anchor moveWithCells="false" sizeWithCells="false">
              <xdr:from>
                <xdr:col>2</xdr:col>
                <xdr:colOff>29</xdr:colOff>
                <xdr:row>0</xdr:row>
                <xdr:rowOff>2</xdr:rowOff>
              </xdr:from>
              <xdr:to>
                <xdr:col>3</xdr:col>
                <xdr:colOff>-29</xdr:colOff>
                <xdr:row>7</xdr:row>
                <xdr:rowOff>48</xdr:rowOff>
              </xdr:to>
            </anchor>
          </commentPr>
        </mc:Choice>
        <mc:Fallback/>
      </mc:AlternateContent>
    </comment>
    <comment ref="H29" authorId="0">
      <text>
        <r>
          <rPr>
            <sz val="10"/>
            <rFont val="Arial"/>
            <family val="2"/>
          </rPr>
          <t xml:space="preserve">Source: management instruction in this task through 7–8 September 2026. M1–M6 rotation assumption: 21 days on / 14 days off. Two ticket legs per 35-day cycle, or 1.71 tickets per month. Martin Aguero is local and has no rotation ticket allowance.</t>
        </r>
      </text>
      <mc:AlternateContent>
        <mc:Choice Requires="v2">
          <commentPr autoFill="true" autoScale="false" colHidden="false" locked="false" rowHidden="false" textHAlign="justify" textVAlign="top">
            <anchor moveWithCells="false" sizeWithCells="false">
              <xdr:from>
                <xdr:col>2</xdr:col>
                <xdr:colOff>29</xdr:colOff>
                <xdr:row>0</xdr:row>
                <xdr:rowOff>2</xdr:rowOff>
              </xdr:from>
              <xdr:to>
                <xdr:col>3</xdr:col>
                <xdr:colOff>-29</xdr:colOff>
                <xdr:row>7</xdr:row>
                <xdr:rowOff>48</xdr:rowOff>
              </xdr:to>
            </anchor>
          </commentPr>
        </mc:Choice>
        <mc:Fallback/>
      </mc:AlternateContent>
    </comment>
    <comment ref="I12" authorId="0">
      <text>
        <r>
          <rPr>
            <sz val="10"/>
            <rFont val="Arial"/>
            <family val="2"/>
          </rPr>
          <t xml:space="preserve">Source: management instruction in this task through 7–8 September 2026. Health-care scope and pricing are pending confirmation from Airswift and are not included in the model.</t>
        </r>
      </text>
      <mc:AlternateContent>
        <mc:Choice Requires="v2">
          <commentPr autoFill="true" autoScale="false" colHidden="false" locked="false" rowHidden="false" textHAlign="justify" textVAlign="top">
            <anchor moveWithCells="false" sizeWithCells="false">
              <xdr:from>
                <xdr:col>2</xdr:col>
                <xdr:colOff>29</xdr:colOff>
                <xdr:row>0</xdr:row>
                <xdr:rowOff>2</xdr:rowOff>
              </xdr:from>
              <xdr:to>
                <xdr:col>3</xdr:col>
                <xdr:colOff>-29</xdr:colOff>
                <xdr:row>6</xdr:row>
                <xdr:rowOff>8</xdr:rowOff>
              </xdr:to>
            </anchor>
          </commentPr>
        </mc:Choice>
        <mc:Fallback/>
      </mc:AlternateContent>
    </comment>
    <comment ref="I21" authorId="0">
      <text>
        <r>
          <rPr>
            <sz val="10"/>
            <rFont val="Arial"/>
            <family val="2"/>
          </rPr>
          <t xml:space="preserve">Source: user-provided annual compensation table, reviewed 7–8 September 2026; field: Base Salary (Annual). One-time M7 transition package. Origin-country employee tax assumption; no company gross-up modeled.</t>
        </r>
      </text>
      <mc:AlternateContent>
        <mc:Choice Requires="v2">
          <commentPr autoFill="true" autoScale="false" colHidden="false" locked="false" rowHidden="false" textHAlign="justify" textVAlign="top">
            <anchor moveWithCells="false" sizeWithCells="false">
              <xdr:from>
                <xdr:col>2</xdr:col>
                <xdr:colOff>29</xdr:colOff>
                <xdr:row>0</xdr:row>
                <xdr:rowOff>2</xdr:rowOff>
              </xdr:from>
              <xdr:to>
                <xdr:col>3</xdr:col>
                <xdr:colOff>-29</xdr:colOff>
                <xdr:row>7</xdr:row>
                <xdr:rowOff>18</xdr:rowOff>
              </xdr:to>
            </anchor>
          </commentPr>
        </mc:Choice>
        <mc:Fallback/>
      </mc:AlternateContent>
    </comment>
    <comment ref="I22" authorId="0">
      <text>
        <r>
          <rPr>
            <sz val="10"/>
            <rFont val="Arial"/>
            <family val="2"/>
          </rPr>
          <t xml:space="preserve">Source: user-provided annual compensation table, reviewed 7–8 September 2026; field: Base Salary (Annual). Initial PU secondee. PU pays modeled cost; one-time M7 transition package applies.</t>
        </r>
      </text>
      <mc:AlternateContent>
        <mc:Choice Requires="v2">
          <commentPr autoFill="true" autoScale="false" colHidden="false" locked="false" rowHidden="false" textHAlign="justify" textVAlign="top">
            <anchor moveWithCells="false" sizeWithCells="false">
              <xdr:from>
                <xdr:col>2</xdr:col>
                <xdr:colOff>29</xdr:colOff>
                <xdr:row>0</xdr:row>
                <xdr:rowOff>2</xdr:rowOff>
              </xdr:from>
              <xdr:to>
                <xdr:col>3</xdr:col>
                <xdr:colOff>-29</xdr:colOff>
                <xdr:row>7</xdr:row>
                <xdr:rowOff>3</xdr:rowOff>
              </xdr:to>
            </anchor>
          </commentPr>
        </mc:Choice>
        <mc:Fallback/>
      </mc:AlternateContent>
    </comment>
    <comment ref="I23" authorId="0">
      <text>
        <r>
          <rPr>
            <sz val="10"/>
            <rFont val="Arial"/>
            <family val="2"/>
          </rPr>
          <t xml:space="preserve">Source: user-provided annual compensation table, reviewed 7–8 September 2026; field: Base Salary (Annual). One-time M7 transition package. Origin-country employee tax assumption; no company gross-up modeled.</t>
        </r>
      </text>
      <mc:AlternateContent>
        <mc:Choice Requires="v2">
          <commentPr autoFill="true" autoScale="false" colHidden="false" locked="false" rowHidden="false" textHAlign="justify" textVAlign="top">
            <anchor moveWithCells="false" sizeWithCells="false">
              <xdr:from>
                <xdr:col>2</xdr:col>
                <xdr:colOff>29</xdr:colOff>
                <xdr:row>0</xdr:row>
                <xdr:rowOff>2</xdr:rowOff>
              </xdr:from>
              <xdr:to>
                <xdr:col>3</xdr:col>
                <xdr:colOff>-29</xdr:colOff>
                <xdr:row>7</xdr:row>
                <xdr:rowOff>18</xdr:rowOff>
              </xdr:to>
            </anchor>
          </commentPr>
        </mc:Choice>
        <mc:Fallback/>
      </mc:AlternateContent>
    </comment>
    <comment ref="I24" authorId="0">
      <text>
        <r>
          <rPr>
            <sz val="10"/>
            <rFont val="Arial"/>
            <family val="2"/>
          </rPr>
          <t xml:space="preserve">Source: user-provided annual compensation table, reviewed 7–8 September 2026; field: Base Salary (Annual). Initial PU secondee. Approved family relocation to Maracaibo; $2,000/month housing from M7 and home leave stated as a non-costed benefit.</t>
        </r>
      </text>
      <mc:AlternateContent>
        <mc:Choice Requires="v2">
          <commentPr autoFill="true" autoScale="false" colHidden="false" locked="false" rowHidden="false" textHAlign="justify" textVAlign="top">
            <anchor moveWithCells="false" sizeWithCells="false">
              <xdr:from>
                <xdr:col>2</xdr:col>
                <xdr:colOff>29</xdr:colOff>
                <xdr:row>0</xdr:row>
                <xdr:rowOff>2</xdr:rowOff>
              </xdr:from>
              <xdr:to>
                <xdr:col>3</xdr:col>
                <xdr:colOff>-29</xdr:colOff>
                <xdr:row>7</xdr:row>
                <xdr:rowOff>48</xdr:rowOff>
              </xdr:to>
            </anchor>
          </commentPr>
        </mc:Choice>
        <mc:Fallback/>
      </mc:AlternateContent>
    </comment>
    <comment ref="I25" authorId="0">
      <text>
        <r>
          <rPr>
            <sz val="10"/>
            <rFont val="Arial"/>
            <family val="2"/>
          </rPr>
          <t xml:space="preserve">Source: user-provided annual compensation table, reviewed 7–8 September 2026; field: Base Salary (Annual). Remote designation and local benefit treatment remain subject to confirmation.</t>
        </r>
      </text>
      <mc:AlternateContent>
        <mc:Choice Requires="v2">
          <commentPr autoFill="true" autoScale="false" colHidden="false" locked="false" rowHidden="false" textHAlign="justify" textVAlign="top">
            <anchor moveWithCells="false" sizeWithCells="false">
              <xdr:from>
                <xdr:col>2</xdr:col>
                <xdr:colOff>29</xdr:colOff>
                <xdr:row>0</xdr:row>
                <xdr:rowOff>2</xdr:rowOff>
              </xdr:from>
              <xdr:to>
                <xdr:col>3</xdr:col>
                <xdr:colOff>-29</xdr:colOff>
                <xdr:row>7</xdr:row>
                <xdr:rowOff>3</xdr:rowOff>
              </xdr:to>
            </anchor>
          </commentPr>
        </mc:Choice>
        <mc:Fallback/>
      </mc:AlternateContent>
    </comment>
    <comment ref="I26" authorId="0">
      <text>
        <r>
          <rPr>
            <sz val="10"/>
            <rFont val="Arial"/>
            <family val="2"/>
          </rPr>
          <t xml:space="preserve">Source: user-provided annual compensation table, reviewed 7–8 September 2026; field: Base Salary (Annual). Rotation is confirmed; expatriate contract treatment remains subject to confirmation.</t>
        </r>
      </text>
      <mc:AlternateContent>
        <mc:Choice Requires="v2">
          <commentPr autoFill="true" autoScale="false" colHidden="false" locked="false" rowHidden="false" textHAlign="justify" textVAlign="top">
            <anchor moveWithCells="false" sizeWithCells="false">
              <xdr:from>
                <xdr:col>2</xdr:col>
                <xdr:colOff>29</xdr:colOff>
                <xdr:row>0</xdr:row>
                <xdr:rowOff>2</xdr:rowOff>
              </xdr:from>
              <xdr:to>
                <xdr:col>3</xdr:col>
                <xdr:colOff>-29</xdr:colOff>
                <xdr:row>7</xdr:row>
                <xdr:rowOff>3</xdr:rowOff>
              </xdr:to>
            </anchor>
          </commentPr>
        </mc:Choice>
        <mc:Fallback/>
      </mc:AlternateContent>
    </comment>
    <comment ref="I27" authorId="0">
      <text>
        <r>
          <rPr>
            <sz val="10"/>
            <rFont val="Arial"/>
            <family val="2"/>
          </rPr>
          <t xml:space="preserve">Source: user-provided annual compensation table, reviewed 7–8 September 2026; field: Base Salary (Annual). Local / staff-house approach; no cash housing allowance modeled.</t>
        </r>
      </text>
      <mc:AlternateContent>
        <mc:Choice Requires="v2">
          <commentPr autoFill="true" autoScale="false" colHidden="false" locked="false" rowHidden="false" textHAlign="justify" textVAlign="top">
            <anchor moveWithCells="false" sizeWithCells="false">
              <xdr:from>
                <xdr:col>2</xdr:col>
                <xdr:colOff>29</xdr:colOff>
                <xdr:row>0</xdr:row>
                <xdr:rowOff>2</xdr:rowOff>
              </xdr:from>
              <xdr:to>
                <xdr:col>3</xdr:col>
                <xdr:colOff>-29</xdr:colOff>
                <xdr:row>6</xdr:row>
                <xdr:rowOff>8</xdr:rowOff>
              </xdr:to>
            </anchor>
          </commentPr>
        </mc:Choice>
        <mc:Fallback/>
      </mc:AlternateContent>
    </comment>
    <comment ref="I28" authorId="0">
      <text>
        <r>
          <rPr>
            <sz val="10"/>
            <rFont val="Arial"/>
            <family val="2"/>
          </rPr>
          <t xml:space="preserve">Source: user-provided annual compensation table, reviewed 7–8 September 2026; field: Base Salary (Annual). Open role; salary is a budget placeholder. Contract and benefits remain TBD.</t>
        </r>
      </text>
      <mc:AlternateContent>
        <mc:Choice Requires="v2">
          <commentPr autoFill="true" autoScale="false" colHidden="false" locked="false" rowHidden="false" textHAlign="justify" textVAlign="top">
            <anchor moveWithCells="false" sizeWithCells="false">
              <xdr:from>
                <xdr:col>2</xdr:col>
                <xdr:colOff>29</xdr:colOff>
                <xdr:row>0</xdr:row>
                <xdr:rowOff>2</xdr:rowOff>
              </xdr:from>
              <xdr:to>
                <xdr:col>3</xdr:col>
                <xdr:colOff>-29</xdr:colOff>
                <xdr:row>6</xdr:row>
                <xdr:rowOff>8</xdr:rowOff>
              </xdr:to>
            </anchor>
          </commentPr>
        </mc:Choice>
        <mc:Fallback/>
      </mc:AlternateContent>
    </comment>
    <comment ref="I29" authorId="0">
      <text>
        <r>
          <rPr>
            <sz val="10"/>
            <rFont val="Arial"/>
            <family val="2"/>
          </rPr>
          <t xml:space="preserve">Source: user-provided annual compensation table, reviewed 7–8 September 2026; field: Base Salary (Annual). Already assigned to the project as a local secondee. PU pays salary; 30 paid vacation days apply.</t>
        </r>
      </text>
      <mc:AlternateContent>
        <mc:Choice Requires="v2">
          <commentPr autoFill="true" autoScale="false" colHidden="false" locked="false" rowHidden="false" textHAlign="justify" textVAlign="top">
            <anchor moveWithCells="false" sizeWithCells="false">
              <xdr:from>
                <xdr:col>2</xdr:col>
                <xdr:colOff>29</xdr:colOff>
                <xdr:row>0</xdr:row>
                <xdr:rowOff>2</xdr:rowOff>
              </xdr:from>
              <xdr:to>
                <xdr:col>3</xdr:col>
                <xdr:colOff>-29</xdr:colOff>
                <xdr:row>7</xdr:row>
                <xdr:rowOff>3</xdr:rowOff>
              </xdr:to>
            </anchor>
          </commentPr>
        </mc:Choice>
        <mc:Fallback/>
      </mc:AlternateContent>
    </comment>
    <comment ref="J21" authorId="0">
      <text>
        <r>
          <rPr>
            <sz val="10"/>
            <rFont val="Arial"/>
            <family val="2"/>
          </rPr>
          <t xml:space="preserve">Source: management instruction in this task through 7–8 September 2026. One-time M7 repatriation / localization package equals 1.5 times monthly salary for repatriates.</t>
        </r>
      </text>
      <mc:AlternateContent>
        <mc:Choice Requires="v2">
          <commentPr autoFill="true" autoScale="false" colHidden="false" locked="false" rowHidden="false" textHAlign="justify" textVAlign="top">
            <anchor moveWithCells="false" sizeWithCells="false">
              <xdr:from>
                <xdr:col>2</xdr:col>
                <xdr:colOff>29</xdr:colOff>
                <xdr:row>0</xdr:row>
                <xdr:rowOff>2</xdr:rowOff>
              </xdr:from>
              <xdr:to>
                <xdr:col>3</xdr:col>
                <xdr:colOff>-29</xdr:colOff>
                <xdr:row>6</xdr:row>
                <xdr:rowOff>8</xdr:rowOff>
              </xdr:to>
            </anchor>
          </commentPr>
        </mc:Choice>
        <mc:Fallback/>
      </mc:AlternateContent>
    </comment>
    <comment ref="J22" authorId="0">
      <text>
        <r>
          <rPr>
            <sz val="10"/>
            <rFont val="Arial"/>
            <family val="2"/>
          </rPr>
          <t xml:space="preserve">Source: management instruction in this task through 7–8 September 2026. One-time M7 repatriation / localization package equals 1.5 times monthly salary for repatriates.</t>
        </r>
      </text>
      <mc:AlternateContent>
        <mc:Choice Requires="v2">
          <commentPr autoFill="true" autoScale="false" colHidden="false" locked="false" rowHidden="false" textHAlign="justify" textVAlign="top">
            <anchor moveWithCells="false" sizeWithCells="false">
              <xdr:from>
                <xdr:col>2</xdr:col>
                <xdr:colOff>29</xdr:colOff>
                <xdr:row>0</xdr:row>
                <xdr:rowOff>2</xdr:rowOff>
              </xdr:from>
              <xdr:to>
                <xdr:col>3</xdr:col>
                <xdr:colOff>-29</xdr:colOff>
                <xdr:row>6</xdr:row>
                <xdr:rowOff>8</xdr:rowOff>
              </xdr:to>
            </anchor>
          </commentPr>
        </mc:Choice>
        <mc:Fallback/>
      </mc:AlternateContent>
    </comment>
    <comment ref="J23" authorId="0">
      <text>
        <r>
          <rPr>
            <sz val="10"/>
            <rFont val="Arial"/>
            <family val="2"/>
          </rPr>
          <t xml:space="preserve">Source: management instruction in this task through 7–8 September 2026. One-time M7 repatriation / localization package equals 1.5 times monthly salary for repatriates.</t>
        </r>
      </text>
      <mc:AlternateContent>
        <mc:Choice Requires="v2">
          <commentPr autoFill="true" autoScale="false" colHidden="false" locked="false" rowHidden="false" textHAlign="justify" textVAlign="top">
            <anchor moveWithCells="false" sizeWithCells="false">
              <xdr:from>
                <xdr:col>2</xdr:col>
                <xdr:colOff>29</xdr:colOff>
                <xdr:row>0</xdr:row>
                <xdr:rowOff>2</xdr:rowOff>
              </xdr:from>
              <xdr:to>
                <xdr:col>3</xdr:col>
                <xdr:colOff>-29</xdr:colOff>
                <xdr:row>6</xdr:row>
                <xdr:rowOff>8</xdr:rowOff>
              </xdr:to>
            </anchor>
          </commentPr>
        </mc:Choice>
        <mc:Fallback/>
      </mc:AlternateContent>
    </comment>
    <comment ref="J24" authorId="0">
      <text>
        <r>
          <rPr>
            <sz val="10"/>
            <rFont val="Arial"/>
            <family val="2"/>
          </rPr>
          <t xml:space="preserve">Source: management instruction in this task through 7–8 September 2026. One-time M7 repatriation / localization package equals 1.5 times monthly salary for repatriates.</t>
        </r>
      </text>
      <mc:AlternateContent>
        <mc:Choice Requires="v2">
          <commentPr autoFill="true" autoScale="false" colHidden="false" locked="false" rowHidden="false" textHAlign="justify" textVAlign="top">
            <anchor moveWithCells="false" sizeWithCells="false">
              <xdr:from>
                <xdr:col>2</xdr:col>
                <xdr:colOff>29</xdr:colOff>
                <xdr:row>0</xdr:row>
                <xdr:rowOff>2</xdr:rowOff>
              </xdr:from>
              <xdr:to>
                <xdr:col>3</xdr:col>
                <xdr:colOff>-29</xdr:colOff>
                <xdr:row>6</xdr:row>
                <xdr:rowOff>8</xdr:rowOff>
              </xdr:to>
            </anchor>
          </commentPr>
        </mc:Choice>
        <mc:Fallback/>
      </mc:AlternateContent>
    </comment>
    <comment ref="J25" authorId="0">
      <text>
        <r>
          <rPr>
            <sz val="10"/>
            <rFont val="Arial"/>
            <family val="2"/>
          </rPr>
          <t xml:space="preserve">Source: management instruction in this task through 7–8 September 2026. One-time M7 repatriation / localization package equals 1.5 times monthly salary for repatriates.</t>
        </r>
      </text>
      <mc:AlternateContent>
        <mc:Choice Requires="v2">
          <commentPr autoFill="true" autoScale="false" colHidden="false" locked="false" rowHidden="false" textHAlign="justify" textVAlign="top">
            <anchor moveWithCells="false" sizeWithCells="false">
              <xdr:from>
                <xdr:col>2</xdr:col>
                <xdr:colOff>29</xdr:colOff>
                <xdr:row>0</xdr:row>
                <xdr:rowOff>2</xdr:rowOff>
              </xdr:from>
              <xdr:to>
                <xdr:col>3</xdr:col>
                <xdr:colOff>-29</xdr:colOff>
                <xdr:row>6</xdr:row>
                <xdr:rowOff>8</xdr:rowOff>
              </xdr:to>
            </anchor>
          </commentPr>
        </mc:Choice>
        <mc:Fallback/>
      </mc:AlternateContent>
    </comment>
    <comment ref="J26" authorId="0">
      <text>
        <r>
          <rPr>
            <sz val="10"/>
            <rFont val="Arial"/>
            <family val="2"/>
          </rPr>
          <t xml:space="preserve">Source: management instruction in this task through 7–8 September 2026. One-time M7 repatriation / localization package equals 1.5 times monthly salary for repatriates.</t>
        </r>
      </text>
      <mc:AlternateContent>
        <mc:Choice Requires="v2">
          <commentPr autoFill="true" autoScale="false" colHidden="false" locked="false" rowHidden="false" textHAlign="justify" textVAlign="top">
            <anchor moveWithCells="false" sizeWithCells="false">
              <xdr:from>
                <xdr:col>2</xdr:col>
                <xdr:colOff>29</xdr:colOff>
                <xdr:row>0</xdr:row>
                <xdr:rowOff>2</xdr:rowOff>
              </xdr:from>
              <xdr:to>
                <xdr:col>3</xdr:col>
                <xdr:colOff>-29</xdr:colOff>
                <xdr:row>6</xdr:row>
                <xdr:rowOff>8</xdr:rowOff>
              </xdr:to>
            </anchor>
          </commentPr>
        </mc:Choice>
        <mc:Fallback/>
      </mc:AlternateContent>
    </comment>
    <comment ref="J27" authorId="0">
      <text>
        <r>
          <rPr>
            <sz val="10"/>
            <rFont val="Arial"/>
            <family val="2"/>
          </rPr>
          <t xml:space="preserve">Source: management instruction in this task through 7–8 September 2026. One-time M7 repatriation / localization package equals 1.5 times monthly salary for repatriates.</t>
        </r>
      </text>
      <mc:AlternateContent>
        <mc:Choice Requires="v2">
          <commentPr autoFill="true" autoScale="false" colHidden="false" locked="false" rowHidden="false" textHAlign="justify" textVAlign="top">
            <anchor moveWithCells="false" sizeWithCells="false">
              <xdr:from>
                <xdr:col>2</xdr:col>
                <xdr:colOff>29</xdr:colOff>
                <xdr:row>0</xdr:row>
                <xdr:rowOff>2</xdr:rowOff>
              </xdr:from>
              <xdr:to>
                <xdr:col>3</xdr:col>
                <xdr:colOff>-29</xdr:colOff>
                <xdr:row>6</xdr:row>
                <xdr:rowOff>8</xdr:rowOff>
              </xdr:to>
            </anchor>
          </commentPr>
        </mc:Choice>
        <mc:Fallback/>
      </mc:AlternateContent>
    </comment>
    <comment ref="J28" authorId="0">
      <text>
        <r>
          <rPr>
            <sz val="10"/>
            <rFont val="Arial"/>
            <family val="2"/>
          </rPr>
          <t xml:space="preserve">Source: management instruction in this task through 7–8 September 2026. One-time M7 repatriation / localization package equals 1.5 times monthly salary for repatriates.</t>
        </r>
      </text>
      <mc:AlternateContent>
        <mc:Choice Requires="v2">
          <commentPr autoFill="true" autoScale="false" colHidden="false" locked="false" rowHidden="false" textHAlign="justify" textVAlign="top">
            <anchor moveWithCells="false" sizeWithCells="false">
              <xdr:from>
                <xdr:col>2</xdr:col>
                <xdr:colOff>29</xdr:colOff>
                <xdr:row>0</xdr:row>
                <xdr:rowOff>2</xdr:rowOff>
              </xdr:from>
              <xdr:to>
                <xdr:col>3</xdr:col>
                <xdr:colOff>-29</xdr:colOff>
                <xdr:row>6</xdr:row>
                <xdr:rowOff>8</xdr:rowOff>
              </xdr:to>
            </anchor>
          </commentPr>
        </mc:Choice>
        <mc:Fallback/>
      </mc:AlternateContent>
    </comment>
    <comment ref="J29" authorId="0">
      <text>
        <r>
          <rPr>
            <sz val="10"/>
            <rFont val="Arial"/>
            <family val="2"/>
          </rPr>
          <t xml:space="preserve">Source: management instruction in this task through 7–8 September 2026. One-time M7 repatriation / localization package equals 1.5 times monthly salary for repatriates.</t>
        </r>
      </text>
      <mc:AlternateContent>
        <mc:Choice Requires="v2">
          <commentPr autoFill="true" autoScale="false" colHidden="false" locked="false" rowHidden="false" textHAlign="justify" textVAlign="top">
            <anchor moveWithCells="false" sizeWithCells="false">
              <xdr:from>
                <xdr:col>2</xdr:col>
                <xdr:colOff>29</xdr:colOff>
                <xdr:row>0</xdr:row>
                <xdr:rowOff>2</xdr:rowOff>
              </xdr:from>
              <xdr:to>
                <xdr:col>3</xdr:col>
                <xdr:colOff>-29</xdr:colOff>
                <xdr:row>6</xdr:row>
                <xdr:rowOff>8</xdr:rowOff>
              </xdr:to>
            </anchor>
          </commentPr>
        </mc:Choice>
        <mc:Fallback/>
      </mc:AlternateContent>
    </comment>
    <comment ref="K21" authorId="0">
      <text>
        <r>
          <rPr>
            <sz val="10"/>
            <rFont val="Arial"/>
            <family val="2"/>
          </rPr>
          <t xml:space="preserve">Source: management instruction in this task through 7–8 September 2026. Alan McKeon receives $2,000 per month housing from M7 due to family relocation to Maracaibo.</t>
        </r>
      </text>
      <mc:AlternateContent>
        <mc:Choice Requires="v2">
          <commentPr autoFill="true" autoScale="false" colHidden="false" locked="false" rowHidden="false" textHAlign="justify" textVAlign="top">
            <anchor moveWithCells="false" sizeWithCells="false">
              <xdr:from>
                <xdr:col>2</xdr:col>
                <xdr:colOff>29</xdr:colOff>
                <xdr:row>0</xdr:row>
                <xdr:rowOff>2</xdr:rowOff>
              </xdr:from>
              <xdr:to>
                <xdr:col>3</xdr:col>
                <xdr:colOff>-29</xdr:colOff>
                <xdr:row>6</xdr:row>
                <xdr:rowOff>8</xdr:rowOff>
              </xdr:to>
            </anchor>
          </commentPr>
        </mc:Choice>
        <mc:Fallback/>
      </mc:AlternateContent>
    </comment>
    <comment ref="K22" authorId="0">
      <text>
        <r>
          <rPr>
            <sz val="10"/>
            <rFont val="Arial"/>
            <family val="2"/>
          </rPr>
          <t xml:space="preserve">Source: management instruction in this task through 7–8 September 2026. Alan McKeon receives $2,000 per month housing from M7 due to family relocation to Maracaibo.</t>
        </r>
      </text>
      <mc:AlternateContent>
        <mc:Choice Requires="v2">
          <commentPr autoFill="true" autoScale="false" colHidden="false" locked="false" rowHidden="false" textHAlign="justify" textVAlign="top">
            <anchor moveWithCells="false" sizeWithCells="false">
              <xdr:from>
                <xdr:col>2</xdr:col>
                <xdr:colOff>29</xdr:colOff>
                <xdr:row>0</xdr:row>
                <xdr:rowOff>2</xdr:rowOff>
              </xdr:from>
              <xdr:to>
                <xdr:col>3</xdr:col>
                <xdr:colOff>-29</xdr:colOff>
                <xdr:row>6</xdr:row>
                <xdr:rowOff>8</xdr:rowOff>
              </xdr:to>
            </anchor>
          </commentPr>
        </mc:Choice>
        <mc:Fallback/>
      </mc:AlternateContent>
    </comment>
    <comment ref="K23" authorId="0">
      <text>
        <r>
          <rPr>
            <sz val="10"/>
            <rFont val="Arial"/>
            <family val="2"/>
          </rPr>
          <t xml:space="preserve">Source: management instruction in this task through 7–8 September 2026. Alan McKeon receives $2,000 per month housing from M7 due to family relocation to Maracaibo.</t>
        </r>
      </text>
      <mc:AlternateContent>
        <mc:Choice Requires="v2">
          <commentPr autoFill="true" autoScale="false" colHidden="false" locked="false" rowHidden="false" textHAlign="justify" textVAlign="top">
            <anchor moveWithCells="false" sizeWithCells="false">
              <xdr:from>
                <xdr:col>2</xdr:col>
                <xdr:colOff>29</xdr:colOff>
                <xdr:row>0</xdr:row>
                <xdr:rowOff>2</xdr:rowOff>
              </xdr:from>
              <xdr:to>
                <xdr:col>3</xdr:col>
                <xdr:colOff>-29</xdr:colOff>
                <xdr:row>6</xdr:row>
                <xdr:rowOff>8</xdr:rowOff>
              </xdr:to>
            </anchor>
          </commentPr>
        </mc:Choice>
        <mc:Fallback/>
      </mc:AlternateContent>
    </comment>
    <comment ref="K24" authorId="0">
      <text>
        <r>
          <rPr>
            <sz val="10"/>
            <rFont val="Arial"/>
            <family val="2"/>
          </rPr>
          <t xml:space="preserve">Source: management instruction in this task through 7–8 September 2026. Alan McKeon receives $2,000 per month housing from M7 due to family relocation to Maracaibo.</t>
        </r>
      </text>
      <mc:AlternateContent>
        <mc:Choice Requires="v2">
          <commentPr autoFill="true" autoScale="false" colHidden="false" locked="false" rowHidden="false" textHAlign="justify" textVAlign="top">
            <anchor moveWithCells="false" sizeWithCells="false">
              <xdr:from>
                <xdr:col>2</xdr:col>
                <xdr:colOff>29</xdr:colOff>
                <xdr:row>0</xdr:row>
                <xdr:rowOff>2</xdr:rowOff>
              </xdr:from>
              <xdr:to>
                <xdr:col>3</xdr:col>
                <xdr:colOff>-29</xdr:colOff>
                <xdr:row>6</xdr:row>
                <xdr:rowOff>8</xdr:rowOff>
              </xdr:to>
            </anchor>
          </commentPr>
        </mc:Choice>
        <mc:Fallback/>
      </mc:AlternateContent>
    </comment>
    <comment ref="K25" authorId="0">
      <text>
        <r>
          <rPr>
            <sz val="10"/>
            <rFont val="Arial"/>
            <family val="2"/>
          </rPr>
          <t xml:space="preserve">Source: management instruction in this task through 7–8 September 2026. Alan McKeon receives $2,000 per month housing from M7 due to family relocation to Maracaibo.</t>
        </r>
      </text>
      <mc:AlternateContent>
        <mc:Choice Requires="v2">
          <commentPr autoFill="true" autoScale="false" colHidden="false" locked="false" rowHidden="false" textHAlign="justify" textVAlign="top">
            <anchor moveWithCells="false" sizeWithCells="false">
              <xdr:from>
                <xdr:col>2</xdr:col>
                <xdr:colOff>29</xdr:colOff>
                <xdr:row>0</xdr:row>
                <xdr:rowOff>2</xdr:rowOff>
              </xdr:from>
              <xdr:to>
                <xdr:col>3</xdr:col>
                <xdr:colOff>-29</xdr:colOff>
                <xdr:row>6</xdr:row>
                <xdr:rowOff>8</xdr:rowOff>
              </xdr:to>
            </anchor>
          </commentPr>
        </mc:Choice>
        <mc:Fallback/>
      </mc:AlternateContent>
    </comment>
    <comment ref="K26" authorId="0">
      <text>
        <r>
          <rPr>
            <sz val="10"/>
            <rFont val="Arial"/>
            <family val="2"/>
          </rPr>
          <t xml:space="preserve">Source: management instruction in this task through 7–8 September 2026. Alan McKeon receives $2,000 per month housing from M7 due to family relocation to Maracaibo.</t>
        </r>
      </text>
      <mc:AlternateContent>
        <mc:Choice Requires="v2">
          <commentPr autoFill="true" autoScale="false" colHidden="false" locked="false" rowHidden="false" textHAlign="justify" textVAlign="top">
            <anchor moveWithCells="false" sizeWithCells="false">
              <xdr:from>
                <xdr:col>2</xdr:col>
                <xdr:colOff>29</xdr:colOff>
                <xdr:row>0</xdr:row>
                <xdr:rowOff>2</xdr:rowOff>
              </xdr:from>
              <xdr:to>
                <xdr:col>3</xdr:col>
                <xdr:colOff>-29</xdr:colOff>
                <xdr:row>6</xdr:row>
                <xdr:rowOff>8</xdr:rowOff>
              </xdr:to>
            </anchor>
          </commentPr>
        </mc:Choice>
        <mc:Fallback/>
      </mc:AlternateContent>
    </comment>
    <comment ref="K27" authorId="0">
      <text>
        <r>
          <rPr>
            <sz val="10"/>
            <rFont val="Arial"/>
            <family val="2"/>
          </rPr>
          <t xml:space="preserve">Source: management instruction in this task through 7–8 September 2026. Alan McKeon receives $2,000 per month housing from M7 due to family relocation to Maracaibo.</t>
        </r>
      </text>
      <mc:AlternateContent>
        <mc:Choice Requires="v2">
          <commentPr autoFill="true" autoScale="false" colHidden="false" locked="false" rowHidden="false" textHAlign="justify" textVAlign="top">
            <anchor moveWithCells="false" sizeWithCells="false">
              <xdr:from>
                <xdr:col>2</xdr:col>
                <xdr:colOff>29</xdr:colOff>
                <xdr:row>0</xdr:row>
                <xdr:rowOff>2</xdr:rowOff>
              </xdr:from>
              <xdr:to>
                <xdr:col>3</xdr:col>
                <xdr:colOff>-29</xdr:colOff>
                <xdr:row>6</xdr:row>
                <xdr:rowOff>8</xdr:rowOff>
              </xdr:to>
            </anchor>
          </commentPr>
        </mc:Choice>
        <mc:Fallback/>
      </mc:AlternateContent>
    </comment>
    <comment ref="K28" authorId="0">
      <text>
        <r>
          <rPr>
            <sz val="10"/>
            <rFont val="Arial"/>
            <family val="2"/>
          </rPr>
          <t xml:space="preserve">Source: management instruction in this task through 7–8 September 2026. Alan McKeon receives $2,000 per month housing from M7 due to family relocation to Maracaibo.</t>
        </r>
      </text>
      <mc:AlternateContent>
        <mc:Choice Requires="v2">
          <commentPr autoFill="true" autoScale="false" colHidden="false" locked="false" rowHidden="false" textHAlign="justify" textVAlign="top">
            <anchor moveWithCells="false" sizeWithCells="false">
              <xdr:from>
                <xdr:col>2</xdr:col>
                <xdr:colOff>29</xdr:colOff>
                <xdr:row>0</xdr:row>
                <xdr:rowOff>2</xdr:rowOff>
              </xdr:from>
              <xdr:to>
                <xdr:col>3</xdr:col>
                <xdr:colOff>-29</xdr:colOff>
                <xdr:row>6</xdr:row>
                <xdr:rowOff>8</xdr:rowOff>
              </xdr:to>
            </anchor>
          </commentPr>
        </mc:Choice>
        <mc:Fallback/>
      </mc:AlternateContent>
    </comment>
    <comment ref="K29" authorId="0">
      <text>
        <r>
          <rPr>
            <sz val="10"/>
            <rFont val="Arial"/>
            <family val="2"/>
          </rPr>
          <t xml:space="preserve">Source: management instruction in this task through 7–8 September 2026. Alan McKeon receives $2,000 per month housing from M7 due to family relocation to Maracaibo.</t>
        </r>
      </text>
      <mc:AlternateContent>
        <mc:Choice Requires="v2">
          <commentPr autoFill="true" autoScale="false" colHidden="false" locked="false" rowHidden="false" textHAlign="justify" textVAlign="top">
            <anchor moveWithCells="false" sizeWithCells="false">
              <xdr:from>
                <xdr:col>2</xdr:col>
                <xdr:colOff>29</xdr:colOff>
                <xdr:row>0</xdr:row>
                <xdr:rowOff>2</xdr:rowOff>
              </xdr:from>
              <xdr:to>
                <xdr:col>3</xdr:col>
                <xdr:colOff>-29</xdr:colOff>
                <xdr:row>6</xdr:row>
                <xdr:rowOff>8</xdr:rowOff>
              </xdr:to>
            </anchor>
          </commentPr>
        </mc:Choice>
        <mc:Fallback/>
      </mc:AlternateContent>
    </comment>
  </commentList>
</comments>
</file>

<file path=xl/sharedStrings.xml><?xml version="1.0" encoding="utf-8"?>
<sst xmlns="http://schemas.openxmlformats.org/spreadsheetml/2006/main" count="77" uniqueCount="58">
  <si>
    <t xml:space="preserve">Petrourdaneta — Manpower Cost Summary</t>
  </si>
  <si>
    <t xml:space="preserve">Single-sheet executive model | Overall monthly and annual manpower cost | COO excluded | USD</t>
  </si>
  <si>
    <t xml:space="preserve">Blue = source input | Black = formula | Health-care cost excluded pending Airswift confirmation</t>
  </si>
  <si>
    <t xml:space="preserve">BIG NOTE — Alexander Stulme, Alan McKeon and Martin Aguero are PU-paid secondees. Martin is already assigned to the project as a local secondee. Repatriates receive the one-time transition package in M7 and then become local. Alan remains the only expat and receives $2,000/month housing from M7.</t>
  </si>
  <si>
    <t xml:space="preserve">OVERALL MANPOWER COST</t>
  </si>
  <si>
    <t xml:space="preserve">AIRSWHIFT ACTION — HEALTH CARE AND ROTATION</t>
  </si>
  <si>
    <t xml:space="preserve">Metric</t>
  </si>
  <si>
    <t xml:space="preserve">M1–M6 / Month</t>
  </si>
  <si>
    <t xml:space="preserve">M7</t>
  </si>
  <si>
    <t xml:space="preserve">M8–M12 / Month</t>
  </si>
  <si>
    <t xml:space="preserve">Year 1</t>
  </si>
  <si>
    <t xml:space="preserve">Health care is excluded from all costs in this model. Airswift should confirm the applicable medical coverage, eligibility, insurer and price before a separate health-care cost is approved and added. For M1–M6, the eight transition roles are assumed to work 21 days on / 14 days off: 1.71 tickets per person per month, or 13.71 tickets per month in total. Ticket costs are excluded pending Airswift confirmation.</t>
  </si>
  <si>
    <t xml:space="preserve">Gross manpower cost</t>
  </si>
  <si>
    <t xml:space="preserve">Less: PU-paid secondees</t>
  </si>
  <si>
    <t xml:space="preserve">NET manpower cost</t>
  </si>
  <si>
    <t xml:space="preserve">PERSONNEL COST, CONTRACT, ROTATION AND BENEFIT SUMMARY</t>
  </si>
  <si>
    <t xml:space="preserve">Person</t>
  </si>
  <si>
    <t xml:space="preserve">Position</t>
  </si>
  <si>
    <t xml:space="preserve">M1–M6 Contract</t>
  </si>
  <si>
    <t xml:space="preserve">M7+ Basis</t>
  </si>
  <si>
    <t xml:space="preserve">PU-Paid?</t>
  </si>
  <si>
    <t xml:space="preserve">Tickets / Mo M1–M6</t>
  </si>
  <si>
    <t xml:space="preserve">Annual Salary</t>
  </si>
  <si>
    <t xml:space="preserve">M7 Package</t>
  </si>
  <si>
    <t xml:space="preserve">Housing / Month</t>
  </si>
  <si>
    <t xml:space="preserve">M1–M6 / Mo</t>
  </si>
  <si>
    <t xml:space="preserve">M7 Cost</t>
  </si>
  <si>
    <t xml:space="preserve">M8–M12 / Mo</t>
  </si>
  <si>
    <t xml:space="preserve">Year 1 Cost</t>
  </si>
  <si>
    <t xml:space="preserve">Juan Conde</t>
  </si>
  <si>
    <t xml:space="preserve">EPCM &amp; Engineering Manager</t>
  </si>
  <si>
    <t xml:space="preserve">Repatriate</t>
  </si>
  <si>
    <t xml:space="preserve">Local — Venezuela</t>
  </si>
  <si>
    <t xml:space="preserve">No</t>
  </si>
  <si>
    <t xml:space="preserve">Alexander Stulme</t>
  </si>
  <si>
    <t xml:space="preserve">Drilling &amp; Well Services Manager</t>
  </si>
  <si>
    <t xml:space="preserve">Yes</t>
  </si>
  <si>
    <t xml:space="preserve">Félix Valderrama</t>
  </si>
  <si>
    <t xml:space="preserve">Operations &amp; Maintenance Manager</t>
  </si>
  <si>
    <t xml:space="preserve">Alan McKeon</t>
  </si>
  <si>
    <t xml:space="preserve">Technical Manager (Geosciences)</t>
  </si>
  <si>
    <t xml:space="preserve">Expat</t>
  </si>
  <si>
    <t xml:space="preserve">JJI</t>
  </si>
  <si>
    <t xml:space="preserve">Reservoir Engineer</t>
  </si>
  <si>
    <t xml:space="preserve">Local</t>
  </si>
  <si>
    <t xml:space="preserve">Marcelo Dantas</t>
  </si>
  <si>
    <t xml:space="preserve">Rig Company Man</t>
  </si>
  <si>
    <t xml:space="preserve">Jose Miguel</t>
  </si>
  <si>
    <t xml:space="preserve">Planning &amp; PMO</t>
  </si>
  <si>
    <t xml:space="preserve">TBD — Person to be defined</t>
  </si>
  <si>
    <t xml:space="preserve">Operations Support</t>
  </si>
  <si>
    <t xml:space="preserve">TBD</t>
  </si>
  <si>
    <t xml:space="preserve">Martin Aguero</t>
  </si>
  <si>
    <t xml:space="preserve">Infrastructure Manager</t>
  </si>
  <si>
    <t xml:space="preserve">Local Secondee</t>
  </si>
  <si>
    <t xml:space="preserve">TOTAL GROSS MANPOWER COST</t>
  </si>
  <si>
    <t xml:space="preserve">REFERENCES AND MODEL SCOPE</t>
  </si>
  <si>
    <t xml:space="preserve">References: user-provided annual compensation table reviewed 7–8 September 2026, and management instructions in this task on contract type, benefits, PU secondments and cost responsibility. Health care and ticket costs are excluded pending Airswift confirmation of coverage, price and booking scope. The M1–M6 ticket plan assumes 21 days on / 14 days off and 1.71 tickets per transition role per month. This is a management-planning cost model; tax gross-up, statutory contributions, stock options and future bonus plans require separate approval and specialist review.</t>
  </si>
</sst>
</file>

<file path=xl/styles.xml><?xml version="1.0" encoding="utf-8"?>
<styleSheet xmlns="http://schemas.openxmlformats.org/spreadsheetml/2006/main">
  <numFmts count="4">
    <numFmt numFmtId="164" formatCode="General"/>
    <numFmt numFmtId="165" formatCode="\$#,##0.0;[RED]&quot;($&quot;#,##0.0\);\-"/>
    <numFmt numFmtId="166" formatCode="#,##0.0;[RED]&quot;($&quot;#,##0.0\);\-"/>
    <numFmt numFmtId="167" formatCode="#,##0.00"/>
  </numFmts>
  <fonts count="12">
    <font>
      <sz val="11"/>
      <color theme="1"/>
      <name val="Calibri"/>
      <family val="2"/>
      <charset val="1"/>
    </font>
    <font>
      <sz val="10"/>
      <name val="Arial"/>
      <family val="0"/>
    </font>
    <font>
      <sz val="10"/>
      <name val="Arial"/>
      <family val="0"/>
    </font>
    <font>
      <sz val="10"/>
      <name val="Arial"/>
      <family val="0"/>
    </font>
    <font>
      <b val="true"/>
      <sz val="16"/>
      <color rgb="FFFFFFFF"/>
      <name val="Arial"/>
      <family val="0"/>
      <charset val="1"/>
    </font>
    <font>
      <b val="true"/>
      <sz val="11"/>
      <color rgb="FF000000"/>
      <name val="Arial"/>
      <family val="0"/>
      <charset val="1"/>
    </font>
    <font>
      <i val="true"/>
      <sz val="9"/>
      <color rgb="FF666666"/>
      <name val="Arial"/>
      <family val="0"/>
      <charset val="1"/>
    </font>
    <font>
      <b val="true"/>
      <sz val="10"/>
      <color rgb="FFC00000"/>
      <name val="Arial"/>
      <family val="0"/>
      <charset val="1"/>
    </font>
    <font>
      <b val="true"/>
      <sz val="10"/>
      <color rgb="FF000000"/>
      <name val="Arial"/>
      <family val="0"/>
      <charset val="1"/>
    </font>
    <font>
      <sz val="10"/>
      <color rgb="FF000000"/>
      <name val="Arial"/>
      <family val="0"/>
      <charset val="1"/>
    </font>
    <font>
      <sz val="10"/>
      <color rgb="FF0000FF"/>
      <name val="Arial"/>
      <family val="0"/>
      <charset val="1"/>
    </font>
    <font>
      <sz val="10"/>
      <name val="Arial"/>
      <family val="2"/>
    </font>
  </fonts>
  <fills count="5">
    <fill>
      <patternFill patternType="none"/>
    </fill>
    <fill>
      <patternFill patternType="gray125"/>
    </fill>
    <fill>
      <patternFill patternType="solid">
        <fgColor rgb="FF135B44"/>
        <bgColor rgb="FF333333"/>
      </patternFill>
    </fill>
    <fill>
      <patternFill patternType="solid">
        <fgColor rgb="FFCFE9E0"/>
        <bgColor rgb="FFCCFFFF"/>
      </patternFill>
    </fill>
    <fill>
      <patternFill patternType="solid">
        <fgColor rgb="FFFFF3E0"/>
        <bgColor rgb="FFFFFFFF"/>
      </patternFill>
    </fill>
  </fills>
  <borders count="5">
    <border diagonalUp="false" diagonalDown="false">
      <left/>
      <right/>
      <top/>
      <bottom/>
      <diagonal/>
    </border>
    <border diagonalUp="false" diagonalDown="false">
      <left style="thin">
        <color rgb="FFB7B7B7"/>
      </left>
      <right/>
      <top style="thin">
        <color rgb="FFB7B7B7"/>
      </top>
      <bottom style="thin">
        <color rgb="FFB7B7B7"/>
      </bottom>
      <diagonal/>
    </border>
    <border diagonalUp="false" diagonalDown="false">
      <left/>
      <right/>
      <top style="thin">
        <color rgb="FFB7B7B7"/>
      </top>
      <bottom style="thin">
        <color rgb="FFB7B7B7"/>
      </bottom>
      <diagonal/>
    </border>
    <border diagonalUp="false" diagonalDown="false">
      <left/>
      <right style="thin">
        <color rgb="FFB7B7B7"/>
      </right>
      <top style="thin">
        <color rgb="FFB7B7B7"/>
      </top>
      <bottom style="thin">
        <color rgb="FFB7B7B7"/>
      </bottom>
      <diagonal/>
    </border>
    <border diagonalUp="false" diagonalDown="false">
      <left/>
      <right/>
      <top style="medium"/>
      <bottom style="double"/>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left" vertical="center" textRotation="0" wrapText="false" indent="0" shrinkToFit="false"/>
      <protection locked="true" hidden="false"/>
    </xf>
    <xf numFmtId="164" fontId="5" fillId="0" borderId="0" xfId="0" applyFont="true" applyBorder="true" applyAlignment="false" applyProtection="false">
      <alignment horizontal="general" vertical="bottom" textRotation="0" wrapText="false" indent="0" shrinkToFit="false"/>
      <protection locked="true" hidden="false"/>
    </xf>
    <xf numFmtId="164" fontId="6" fillId="0" borderId="0" xfId="0" applyFont="true" applyBorder="true" applyAlignment="fals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left" vertical="top" textRotation="0" wrapText="true" indent="0" shrinkToFit="false"/>
      <protection locked="true" hidden="false"/>
    </xf>
    <xf numFmtId="164" fontId="5" fillId="3" borderId="0" xfId="0" applyFont="true" applyBorder="true" applyAlignment="true" applyProtection="false">
      <alignment horizontal="left" vertical="center" textRotation="0" wrapText="false" indent="0" shrinkToFit="false"/>
      <protection locked="true" hidden="false"/>
    </xf>
    <xf numFmtId="164" fontId="8" fillId="3" borderId="1" xfId="0" applyFont="true" applyBorder="true" applyAlignment="true" applyProtection="false">
      <alignment horizontal="center" vertical="center" textRotation="0" wrapText="true" indent="0" shrinkToFit="false"/>
      <protection locked="true" hidden="false"/>
    </xf>
    <xf numFmtId="164" fontId="8" fillId="3" borderId="2" xfId="0" applyFont="true" applyBorder="true" applyAlignment="true" applyProtection="false">
      <alignment horizontal="center" vertical="center" textRotation="0" wrapText="true" indent="0" shrinkToFit="false"/>
      <protection locked="true" hidden="false"/>
    </xf>
    <xf numFmtId="164" fontId="8" fillId="4" borderId="2" xfId="0" applyFont="true" applyBorder="true" applyAlignment="true" applyProtection="false">
      <alignment horizontal="center" vertical="center" textRotation="0" wrapText="true" indent="0" shrinkToFit="false"/>
      <protection locked="true" hidden="false"/>
    </xf>
    <xf numFmtId="164" fontId="8" fillId="3" borderId="3" xfId="0" applyFont="true" applyBorder="true" applyAlignment="true" applyProtection="false">
      <alignment horizontal="center" vertical="center" textRotation="0" wrapText="tru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5" fontId="9" fillId="0" borderId="2" xfId="0" applyFont="true" applyBorder="true" applyAlignment="true" applyProtection="false">
      <alignment horizontal="right" vertical="center" textRotation="0" wrapText="false" indent="0" shrinkToFit="false"/>
      <protection locked="true" hidden="false"/>
    </xf>
    <xf numFmtId="166" fontId="9" fillId="0" borderId="2" xfId="0" applyFont="true" applyBorder="true" applyAlignment="true" applyProtection="false">
      <alignment horizontal="right" vertical="center" textRotation="0" wrapText="false" indent="0" shrinkToFit="false"/>
      <protection locked="true" hidden="false"/>
    </xf>
    <xf numFmtId="166" fontId="9" fillId="0" borderId="3" xfId="0" applyFont="true" applyBorder="true" applyAlignment="true" applyProtection="false">
      <alignment horizontal="right" vertical="center" textRotation="0" wrapText="false" indent="0" shrinkToFit="false"/>
      <protection locked="true" hidden="false"/>
    </xf>
    <xf numFmtId="164" fontId="8" fillId="0" borderId="4" xfId="0" applyFont="true" applyBorder="true" applyAlignment="false" applyProtection="false">
      <alignment horizontal="general" vertical="bottom" textRotation="0" wrapText="false" indent="0" shrinkToFit="false"/>
      <protection locked="true" hidden="false"/>
    </xf>
    <xf numFmtId="166" fontId="9" fillId="0" borderId="4" xfId="0" applyFont="true" applyBorder="true" applyAlignment="true" applyProtection="false">
      <alignment horizontal="right" vertical="center" textRotation="0" wrapText="false" indent="0" shrinkToFit="false"/>
      <protection locked="true" hidden="false"/>
    </xf>
    <xf numFmtId="164" fontId="10" fillId="0" borderId="1" xfId="0" applyFont="true" applyBorder="true" applyAlignment="true" applyProtection="false">
      <alignment horizontal="left" vertical="center" textRotation="0" wrapText="true" indent="0" shrinkToFit="false"/>
      <protection locked="true" hidden="false"/>
    </xf>
    <xf numFmtId="164" fontId="10" fillId="0" borderId="2" xfId="0" applyFont="true" applyBorder="true" applyAlignment="true" applyProtection="false">
      <alignment horizontal="left" vertical="center" textRotation="0" wrapText="true" indent="0" shrinkToFit="false"/>
      <protection locked="true" hidden="false"/>
    </xf>
    <xf numFmtId="164" fontId="10" fillId="0" borderId="2" xfId="0" applyFont="true" applyBorder="true" applyAlignment="true" applyProtection="false">
      <alignment horizontal="left" vertical="center" textRotation="0" wrapText="false" indent="0" shrinkToFit="false"/>
      <protection locked="true" hidden="false"/>
    </xf>
    <xf numFmtId="167" fontId="9" fillId="0" borderId="2" xfId="0" applyFont="true" applyBorder="true" applyAlignment="true" applyProtection="false">
      <alignment horizontal="right" vertical="center" textRotation="0" wrapText="false" indent="0" shrinkToFit="false"/>
      <protection locked="true" hidden="false"/>
    </xf>
    <xf numFmtId="165" fontId="10" fillId="0" borderId="2" xfId="0" applyFont="true" applyBorder="true" applyAlignment="true" applyProtection="false">
      <alignment horizontal="right" vertical="center" textRotation="0" wrapText="false" indent="0" shrinkToFit="false"/>
      <protection locked="true" hidden="false"/>
    </xf>
    <xf numFmtId="165" fontId="9" fillId="0" borderId="3" xfId="0" applyFont="true" applyBorder="true" applyAlignment="true" applyProtection="false">
      <alignment horizontal="right" vertical="center" textRotation="0" wrapText="false" indent="0" shrinkToFit="false"/>
      <protection locked="true" hidden="false"/>
    </xf>
    <xf numFmtId="166" fontId="10" fillId="0" borderId="2" xfId="0" applyFont="true" applyBorder="true" applyAlignment="true" applyProtection="false">
      <alignment horizontal="right" vertical="center"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7" fontId="9" fillId="0" borderId="2" xfId="0" applyFont="true" applyBorder="true" applyAlignment="false" applyProtection="false">
      <alignment horizontal="general" vertical="bottom" textRotation="0" wrapText="false" indent="0" shrinkToFit="false"/>
      <protection locked="true" hidden="false"/>
    </xf>
    <xf numFmtId="165" fontId="9" fillId="0" borderId="2" xfId="0" applyFont="true" applyBorder="true" applyAlignment="false" applyProtection="false">
      <alignment horizontal="general" vertical="bottom" textRotation="0" wrapText="false" indent="0" shrinkToFit="false"/>
      <protection locked="true" hidden="false"/>
    </xf>
    <xf numFmtId="166" fontId="9" fillId="0" borderId="2" xfId="0" applyFont="true" applyBorder="true" applyAlignment="false" applyProtection="false">
      <alignment horizontal="general" vertical="bottom" textRotation="0" wrapText="false" indent="0" shrinkToFit="false"/>
      <protection locked="true" hidden="false"/>
    </xf>
    <xf numFmtId="166" fontId="9" fillId="0" borderId="3" xfId="0" applyFont="true" applyBorder="true" applyAlignment="fals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left"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7B7B7"/>
      <rgbColor rgb="FF808080"/>
      <rgbColor rgb="FF9999FF"/>
      <rgbColor rgb="FF993366"/>
      <rgbColor rgb="FFFFF3E0"/>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FE9E0"/>
      <rgbColor rgb="FFFFFF99"/>
      <rgbColor rgb="FF99CCFF"/>
      <rgbColor rgb="FFFF99CC"/>
      <rgbColor rgb="FFCC99FF"/>
      <rgbColor rgb="FFFFCC99"/>
      <rgbColor rgb="FF3366FF"/>
      <rgbColor rgb="FF33CCCC"/>
      <rgbColor rgb="FF99CC00"/>
      <rgbColor rgb="FFFFCC00"/>
      <rgbColor rgb="FFFF9900"/>
      <rgbColor rgb="FFFF6600"/>
      <rgbColor rgb="FF666666"/>
      <rgbColor rgb="FF969696"/>
      <rgbColor rgb="FF135B4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C3:O36"/>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2" ySplit="19" topLeftCell="C20" activePane="bottomRight" state="frozen"/>
      <selection pane="topLeft" activeCell="A1" activeCellId="0" sqref="A1"/>
      <selection pane="topRight" activeCell="C1" activeCellId="0" sqref="C1"/>
      <selection pane="bottomLeft" activeCell="A20" activeCellId="0" sqref="A20"/>
      <selection pane="bottomRight" activeCell="A1" activeCellId="0" sqref="A1"/>
    </sheetView>
  </sheetViews>
  <sheetFormatPr defaultColWidth="8.59765625" defaultRowHeight="15" zeroHeight="false" outlineLevelRow="0" outlineLevelCol="0"/>
  <cols>
    <col collapsed="false" customWidth="true" hidden="false" outlineLevel="0" max="2" min="1" style="0" width="3"/>
    <col collapsed="false" customWidth="true" hidden="false" outlineLevel="0" max="3" min="3" style="0" width="24"/>
    <col collapsed="false" customWidth="true" hidden="false" outlineLevel="0" max="4" min="4" style="0" width="30"/>
    <col collapsed="false" customWidth="true" hidden="false" outlineLevel="0" max="5" min="5" style="0" width="15"/>
    <col collapsed="false" customWidth="true" hidden="false" outlineLevel="0" max="6" min="6" style="0" width="16"/>
    <col collapsed="false" customWidth="true" hidden="false" outlineLevel="0" max="7" min="7" style="0" width="12"/>
    <col collapsed="false" customWidth="true" hidden="false" outlineLevel="0" max="9" min="8" style="0" width="15"/>
    <col collapsed="false" customWidth="true" hidden="false" outlineLevel="0" max="12" min="10" style="0" width="14"/>
    <col collapsed="false" customWidth="true" hidden="false" outlineLevel="0" max="14" min="13" style="0" width="15"/>
    <col collapsed="false" customWidth="true" hidden="false" outlineLevel="0" max="15" min="15" style="0" width="16"/>
  </cols>
  <sheetData>
    <row r="3" customFormat="false" ht="27" hidden="false" customHeight="true" outlineLevel="0" collapsed="false">
      <c r="C3" s="1" t="s">
        <v>0</v>
      </c>
      <c r="D3" s="1"/>
      <c r="E3" s="1"/>
      <c r="F3" s="1"/>
      <c r="G3" s="1"/>
      <c r="H3" s="1"/>
      <c r="I3" s="1"/>
      <c r="J3" s="1"/>
      <c r="K3" s="1"/>
      <c r="L3" s="1"/>
      <c r="M3" s="1"/>
      <c r="N3" s="1"/>
      <c r="O3" s="1"/>
    </row>
    <row r="5" customFormat="false" ht="15" hidden="false" customHeight="false" outlineLevel="0" collapsed="false">
      <c r="C5" s="2" t="s">
        <v>1</v>
      </c>
      <c r="D5" s="2"/>
      <c r="E5" s="2"/>
      <c r="F5" s="2"/>
      <c r="G5" s="2"/>
      <c r="H5" s="2"/>
      <c r="I5" s="2"/>
      <c r="J5" s="2"/>
      <c r="K5" s="2"/>
      <c r="L5" s="2"/>
      <c r="M5" s="2"/>
      <c r="N5" s="2"/>
      <c r="O5" s="2"/>
    </row>
    <row r="6" customFormat="false" ht="15" hidden="false" customHeight="false" outlineLevel="0" collapsed="false">
      <c r="C6" s="3" t="s">
        <v>2</v>
      </c>
      <c r="D6" s="3"/>
      <c r="E6" s="3"/>
      <c r="F6" s="3"/>
      <c r="G6" s="3"/>
      <c r="H6" s="3"/>
      <c r="I6" s="3"/>
      <c r="J6" s="3"/>
      <c r="K6" s="3"/>
      <c r="L6" s="3"/>
      <c r="M6" s="3"/>
      <c r="N6" s="3"/>
      <c r="O6" s="3"/>
    </row>
    <row r="8" customFormat="false" ht="42" hidden="false" customHeight="true" outlineLevel="0" collapsed="false">
      <c r="C8" s="4" t="s">
        <v>3</v>
      </c>
      <c r="D8" s="4"/>
      <c r="E8" s="4"/>
      <c r="F8" s="4"/>
      <c r="G8" s="4"/>
      <c r="H8" s="4"/>
      <c r="I8" s="4"/>
      <c r="J8" s="4"/>
      <c r="K8" s="4"/>
      <c r="L8" s="4"/>
      <c r="M8" s="4"/>
      <c r="N8" s="4"/>
      <c r="O8" s="4"/>
    </row>
    <row r="9" customFormat="false" ht="15" hidden="false" customHeight="false" outlineLevel="0" collapsed="false">
      <c r="C9" s="4"/>
      <c r="D9" s="4"/>
      <c r="E9" s="4"/>
      <c r="F9" s="4"/>
      <c r="G9" s="4"/>
      <c r="H9" s="4"/>
      <c r="I9" s="4"/>
      <c r="J9" s="4"/>
      <c r="K9" s="4"/>
      <c r="L9" s="4"/>
      <c r="M9" s="4"/>
      <c r="N9" s="4"/>
      <c r="O9" s="4"/>
    </row>
    <row r="11" customFormat="false" ht="21.75" hidden="false" customHeight="true" outlineLevel="0" collapsed="false">
      <c r="C11" s="5" t="s">
        <v>4</v>
      </c>
      <c r="D11" s="5"/>
      <c r="E11" s="5"/>
      <c r="F11" s="5"/>
      <c r="G11" s="5"/>
      <c r="I11" s="5" t="s">
        <v>5</v>
      </c>
      <c r="J11" s="5"/>
      <c r="K11" s="5"/>
      <c r="L11" s="5"/>
      <c r="M11" s="5"/>
      <c r="N11" s="5"/>
      <c r="O11" s="5"/>
    </row>
    <row r="12" customFormat="false" ht="66" hidden="false" customHeight="true" outlineLevel="0" collapsed="false">
      <c r="C12" s="6" t="s">
        <v>6</v>
      </c>
      <c r="D12" s="7" t="s">
        <v>7</v>
      </c>
      <c r="E12" s="8" t="s">
        <v>8</v>
      </c>
      <c r="F12" s="7" t="s">
        <v>9</v>
      </c>
      <c r="G12" s="9" t="s">
        <v>10</v>
      </c>
      <c r="I12" s="4" t="s">
        <v>11</v>
      </c>
      <c r="J12" s="4"/>
      <c r="K12" s="4"/>
      <c r="L12" s="4"/>
      <c r="M12" s="4"/>
      <c r="N12" s="4"/>
      <c r="O12" s="4"/>
    </row>
    <row r="13" customFormat="false" ht="21.75" hidden="false" customHeight="true" outlineLevel="0" collapsed="false">
      <c r="C13" s="10" t="s">
        <v>12</v>
      </c>
      <c r="D13" s="11" t="n">
        <f aca="false">SUM(L21:L29)</f>
        <v>114000</v>
      </c>
      <c r="E13" s="12" t="n">
        <f aca="false">SUM(M21:M29)</f>
        <v>192500</v>
      </c>
      <c r="F13" s="12" t="n">
        <f aca="false">SUM(N21:N29)</f>
        <v>116000</v>
      </c>
      <c r="G13" s="13" t="n">
        <f aca="false">SUM(O21:O29)</f>
        <v>1456500</v>
      </c>
      <c r="I13" s="4"/>
      <c r="J13" s="4"/>
      <c r="K13" s="4"/>
      <c r="L13" s="4"/>
      <c r="M13" s="4"/>
      <c r="N13" s="4"/>
      <c r="O13" s="4"/>
    </row>
    <row r="14" customFormat="false" ht="21.75" hidden="false" customHeight="true" outlineLevel="0" collapsed="false">
      <c r="C14" s="10" t="s">
        <v>13</v>
      </c>
      <c r="D14" s="12" t="n">
        <f aca="false">-SUMIF($G$21:$G$29,"Yes",$L$21:$L$29)</f>
        <v>-45000</v>
      </c>
      <c r="E14" s="12" t="n">
        <f aca="false">-SUMIF($G$21:$G$29,"Yes",$M$21:$M$29)</f>
        <v>-69500</v>
      </c>
      <c r="F14" s="12" t="n">
        <f aca="false">-SUMIF($G$21:$G$29,"Yes",$N$21:$N$29)</f>
        <v>-47000</v>
      </c>
      <c r="G14" s="13" t="n">
        <f aca="false">-SUMIF($G$21:$G$29,"Yes",$O$21:$O$29)</f>
        <v>-574500</v>
      </c>
      <c r="I14" s="4"/>
      <c r="J14" s="4"/>
      <c r="K14" s="4"/>
      <c r="L14" s="4"/>
      <c r="M14" s="4"/>
      <c r="N14" s="4"/>
      <c r="O14" s="4"/>
    </row>
    <row r="15" customFormat="false" ht="21.75" hidden="false" customHeight="true" outlineLevel="0" collapsed="false">
      <c r="C15" s="14" t="s">
        <v>14</v>
      </c>
      <c r="D15" s="15" t="n">
        <f aca="false">D13+D14</f>
        <v>69000</v>
      </c>
      <c r="E15" s="15" t="n">
        <f aca="false">E13+E14</f>
        <v>123000</v>
      </c>
      <c r="F15" s="15" t="n">
        <f aca="false">F13+F14</f>
        <v>69000</v>
      </c>
      <c r="G15" s="15" t="n">
        <f aca="false">G13+G14</f>
        <v>882000</v>
      </c>
      <c r="I15" s="4"/>
      <c r="J15" s="4"/>
      <c r="K15" s="4"/>
      <c r="L15" s="4"/>
      <c r="M15" s="4"/>
      <c r="N15" s="4"/>
      <c r="O15" s="4"/>
    </row>
    <row r="18" customFormat="false" ht="21.75" hidden="false" customHeight="true" outlineLevel="0" collapsed="false">
      <c r="C18" s="5" t="s">
        <v>15</v>
      </c>
      <c r="D18" s="5"/>
      <c r="E18" s="5"/>
      <c r="F18" s="5"/>
      <c r="G18" s="5"/>
      <c r="H18" s="5"/>
      <c r="I18" s="5"/>
      <c r="J18" s="5"/>
      <c r="K18" s="5"/>
      <c r="L18" s="5"/>
      <c r="M18" s="5"/>
      <c r="N18" s="5"/>
      <c r="O18" s="5"/>
    </row>
    <row r="20" customFormat="false" ht="33.75" hidden="false" customHeight="true" outlineLevel="0" collapsed="false">
      <c r="C20" s="6" t="s">
        <v>16</v>
      </c>
      <c r="D20" s="7" t="s">
        <v>17</v>
      </c>
      <c r="E20" s="7" t="s">
        <v>18</v>
      </c>
      <c r="F20" s="7" t="s">
        <v>19</v>
      </c>
      <c r="G20" s="7" t="s">
        <v>20</v>
      </c>
      <c r="H20" s="7" t="s">
        <v>21</v>
      </c>
      <c r="I20" s="7" t="s">
        <v>22</v>
      </c>
      <c r="J20" s="7" t="s">
        <v>23</v>
      </c>
      <c r="K20" s="7" t="s">
        <v>24</v>
      </c>
      <c r="L20" s="8" t="s">
        <v>25</v>
      </c>
      <c r="M20" s="7" t="s">
        <v>26</v>
      </c>
      <c r="N20" s="7" t="s">
        <v>27</v>
      </c>
      <c r="O20" s="9" t="s">
        <v>28</v>
      </c>
    </row>
    <row r="21" customFormat="false" ht="24" hidden="false" customHeight="true" outlineLevel="0" collapsed="false">
      <c r="C21" s="16" t="s">
        <v>29</v>
      </c>
      <c r="D21" s="17" t="s">
        <v>30</v>
      </c>
      <c r="E21" s="17" t="s">
        <v>31</v>
      </c>
      <c r="F21" s="17" t="s">
        <v>32</v>
      </c>
      <c r="G21" s="18" t="s">
        <v>33</v>
      </c>
      <c r="H21" s="19" t="n">
        <f aca="false">IF(C21="Martin Aguero",0,2*30/35)</f>
        <v>1.71428571428571</v>
      </c>
      <c r="I21" s="20" t="n">
        <v>216000</v>
      </c>
      <c r="J21" s="12" t="n">
        <f aca="false">IF(E21="Repatriate",1.5*I21/12,0)</f>
        <v>27000</v>
      </c>
      <c r="K21" s="12" t="n">
        <f aca="false">IF(C21="Alan McKeon",2000,0)</f>
        <v>0</v>
      </c>
      <c r="L21" s="11" t="n">
        <f aca="false">I21/12</f>
        <v>18000</v>
      </c>
      <c r="M21" s="12" t="n">
        <f aca="false">L21+J21+K21</f>
        <v>45000</v>
      </c>
      <c r="N21" s="12" t="n">
        <f aca="false">L21+K21</f>
        <v>18000</v>
      </c>
      <c r="O21" s="21" t="n">
        <f aca="false">6*L21+M21+5*N21</f>
        <v>243000</v>
      </c>
    </row>
    <row r="22" customFormat="false" ht="24" hidden="false" customHeight="true" outlineLevel="0" collapsed="false">
      <c r="C22" s="16" t="s">
        <v>34</v>
      </c>
      <c r="D22" s="17" t="s">
        <v>35</v>
      </c>
      <c r="E22" s="17" t="s">
        <v>31</v>
      </c>
      <c r="F22" s="17" t="s">
        <v>32</v>
      </c>
      <c r="G22" s="18" t="s">
        <v>36</v>
      </c>
      <c r="H22" s="19" t="n">
        <f aca="false">IF(C22="Martin Aguero",0,2*30/35)</f>
        <v>1.71428571428571</v>
      </c>
      <c r="I22" s="22" t="n">
        <v>180000</v>
      </c>
      <c r="J22" s="12" t="n">
        <f aca="false">IF(E22="Repatriate",1.5*I22/12,0)</f>
        <v>22500</v>
      </c>
      <c r="K22" s="12" t="n">
        <f aca="false">IF(C22="Alan McKeon",2000,0)</f>
        <v>0</v>
      </c>
      <c r="L22" s="12" t="n">
        <f aca="false">I22/12</f>
        <v>15000</v>
      </c>
      <c r="M22" s="12" t="n">
        <f aca="false">L22+J22+K22</f>
        <v>37500</v>
      </c>
      <c r="N22" s="12" t="n">
        <f aca="false">L22+K22</f>
        <v>15000</v>
      </c>
      <c r="O22" s="13" t="n">
        <f aca="false">6*L22+M22+5*N22</f>
        <v>202500</v>
      </c>
    </row>
    <row r="23" customFormat="false" ht="24" hidden="false" customHeight="true" outlineLevel="0" collapsed="false">
      <c r="C23" s="16" t="s">
        <v>37</v>
      </c>
      <c r="D23" s="17" t="s">
        <v>38</v>
      </c>
      <c r="E23" s="17" t="s">
        <v>31</v>
      </c>
      <c r="F23" s="17" t="s">
        <v>32</v>
      </c>
      <c r="G23" s="18" t="s">
        <v>33</v>
      </c>
      <c r="H23" s="19" t="n">
        <f aca="false">IF(C23="Martin Aguero",0,2*30/35)</f>
        <v>1.71428571428571</v>
      </c>
      <c r="I23" s="22" t="n">
        <v>216000</v>
      </c>
      <c r="J23" s="12" t="n">
        <f aca="false">IF(E23="Repatriate",1.5*I23/12,0)</f>
        <v>27000</v>
      </c>
      <c r="K23" s="12" t="n">
        <f aca="false">IF(C23="Alan McKeon",2000,0)</f>
        <v>0</v>
      </c>
      <c r="L23" s="12" t="n">
        <f aca="false">I23/12</f>
        <v>18000</v>
      </c>
      <c r="M23" s="12" t="n">
        <f aca="false">L23+J23+K23</f>
        <v>45000</v>
      </c>
      <c r="N23" s="12" t="n">
        <f aca="false">L23+K23</f>
        <v>18000</v>
      </c>
      <c r="O23" s="13" t="n">
        <f aca="false">6*L23+M23+5*N23</f>
        <v>243000</v>
      </c>
    </row>
    <row r="24" customFormat="false" ht="24" hidden="false" customHeight="true" outlineLevel="0" collapsed="false">
      <c r="C24" s="16" t="s">
        <v>39</v>
      </c>
      <c r="D24" s="17" t="s">
        <v>40</v>
      </c>
      <c r="E24" s="17" t="s">
        <v>41</v>
      </c>
      <c r="F24" s="17" t="s">
        <v>41</v>
      </c>
      <c r="G24" s="18" t="s">
        <v>36</v>
      </c>
      <c r="H24" s="19" t="n">
        <f aca="false">IF(C24="Martin Aguero",0,2*30/35)</f>
        <v>1.71428571428571</v>
      </c>
      <c r="I24" s="22" t="n">
        <v>180000</v>
      </c>
      <c r="J24" s="12" t="n">
        <f aca="false">IF(E24="Repatriate",1.5*I24/12,0)</f>
        <v>0</v>
      </c>
      <c r="K24" s="12" t="n">
        <f aca="false">IF(C24="Alan McKeon",2000,0)</f>
        <v>2000</v>
      </c>
      <c r="L24" s="12" t="n">
        <f aca="false">I24/12</f>
        <v>15000</v>
      </c>
      <c r="M24" s="12" t="n">
        <f aca="false">L24+J24+K24</f>
        <v>17000</v>
      </c>
      <c r="N24" s="12" t="n">
        <f aca="false">L24+K24</f>
        <v>17000</v>
      </c>
      <c r="O24" s="13" t="n">
        <f aca="false">6*L24+M24+5*N24</f>
        <v>192000</v>
      </c>
    </row>
    <row r="25" customFormat="false" ht="24" hidden="false" customHeight="true" outlineLevel="0" collapsed="false">
      <c r="C25" s="16" t="s">
        <v>42</v>
      </c>
      <c r="D25" s="17" t="s">
        <v>43</v>
      </c>
      <c r="E25" s="17" t="s">
        <v>44</v>
      </c>
      <c r="F25" s="17" t="s">
        <v>44</v>
      </c>
      <c r="G25" s="18" t="s">
        <v>33</v>
      </c>
      <c r="H25" s="19" t="n">
        <f aca="false">IF(C25="Martin Aguero",0,2*30/35)</f>
        <v>1.71428571428571</v>
      </c>
      <c r="I25" s="22" t="n">
        <v>120000</v>
      </c>
      <c r="J25" s="12" t="n">
        <f aca="false">IF(E25="Repatriate",1.5*I25/12,0)</f>
        <v>0</v>
      </c>
      <c r="K25" s="12" t="n">
        <f aca="false">IF(C25="Alan McKeon",2000,0)</f>
        <v>0</v>
      </c>
      <c r="L25" s="12" t="n">
        <f aca="false">I25/12</f>
        <v>10000</v>
      </c>
      <c r="M25" s="12" t="n">
        <f aca="false">L25+J25+K25</f>
        <v>10000</v>
      </c>
      <c r="N25" s="12" t="n">
        <f aca="false">L25+K25</f>
        <v>10000</v>
      </c>
      <c r="O25" s="13" t="n">
        <f aca="false">6*L25+M25+5*N25</f>
        <v>120000</v>
      </c>
    </row>
    <row r="26" customFormat="false" ht="24" hidden="false" customHeight="true" outlineLevel="0" collapsed="false">
      <c r="C26" s="16" t="s">
        <v>45</v>
      </c>
      <c r="D26" s="17" t="s">
        <v>46</v>
      </c>
      <c r="E26" s="17" t="s">
        <v>41</v>
      </c>
      <c r="F26" s="17" t="s">
        <v>41</v>
      </c>
      <c r="G26" s="18" t="s">
        <v>33</v>
      </c>
      <c r="H26" s="19" t="n">
        <f aca="false">IF(C26="Martin Aguero",0,2*30/35)</f>
        <v>1.71428571428571</v>
      </c>
      <c r="I26" s="22" t="n">
        <v>180000</v>
      </c>
      <c r="J26" s="12" t="n">
        <f aca="false">IF(E26="Repatriate",1.5*I26/12,0)</f>
        <v>0</v>
      </c>
      <c r="K26" s="12" t="n">
        <f aca="false">IF(C26="Alan McKeon",2000,0)</f>
        <v>0</v>
      </c>
      <c r="L26" s="12" t="n">
        <f aca="false">I26/12</f>
        <v>15000</v>
      </c>
      <c r="M26" s="12" t="n">
        <f aca="false">L26+J26+K26</f>
        <v>15000</v>
      </c>
      <c r="N26" s="12" t="n">
        <f aca="false">L26+K26</f>
        <v>15000</v>
      </c>
      <c r="O26" s="13" t="n">
        <f aca="false">6*L26+M26+5*N26</f>
        <v>180000</v>
      </c>
    </row>
    <row r="27" customFormat="false" ht="24" hidden="false" customHeight="true" outlineLevel="0" collapsed="false">
      <c r="C27" s="16" t="s">
        <v>47</v>
      </c>
      <c r="D27" s="17" t="s">
        <v>48</v>
      </c>
      <c r="E27" s="17" t="s">
        <v>44</v>
      </c>
      <c r="F27" s="17" t="s">
        <v>44</v>
      </c>
      <c r="G27" s="18" t="s">
        <v>33</v>
      </c>
      <c r="H27" s="19" t="n">
        <f aca="false">IF(C27="Martin Aguero",0,2*30/35)</f>
        <v>1.71428571428571</v>
      </c>
      <c r="I27" s="22" t="n">
        <v>48000</v>
      </c>
      <c r="J27" s="12" t="n">
        <f aca="false">IF(E27="Repatriate",1.5*I27/12,0)</f>
        <v>0</v>
      </c>
      <c r="K27" s="12" t="n">
        <f aca="false">IF(C27="Alan McKeon",2000,0)</f>
        <v>0</v>
      </c>
      <c r="L27" s="12" t="n">
        <f aca="false">I27/12</f>
        <v>4000</v>
      </c>
      <c r="M27" s="12" t="n">
        <f aca="false">L27+J27+K27</f>
        <v>4000</v>
      </c>
      <c r="N27" s="12" t="n">
        <f aca="false">L27+K27</f>
        <v>4000</v>
      </c>
      <c r="O27" s="13" t="n">
        <f aca="false">6*L27+M27+5*N27</f>
        <v>48000</v>
      </c>
    </row>
    <row r="28" customFormat="false" ht="24" hidden="false" customHeight="true" outlineLevel="0" collapsed="false">
      <c r="C28" s="16" t="s">
        <v>49</v>
      </c>
      <c r="D28" s="17" t="s">
        <v>50</v>
      </c>
      <c r="E28" s="17" t="s">
        <v>51</v>
      </c>
      <c r="F28" s="17" t="s">
        <v>51</v>
      </c>
      <c r="G28" s="18" t="s">
        <v>33</v>
      </c>
      <c r="H28" s="19" t="n">
        <f aca="false">IF(C28="Martin Aguero",0,2*30/35)</f>
        <v>1.71428571428571</v>
      </c>
      <c r="I28" s="22" t="n">
        <v>48000</v>
      </c>
      <c r="J28" s="12" t="n">
        <f aca="false">IF(E28="Repatriate",1.5*I28/12,0)</f>
        <v>0</v>
      </c>
      <c r="K28" s="12" t="n">
        <f aca="false">IF(C28="Alan McKeon",2000,0)</f>
        <v>0</v>
      </c>
      <c r="L28" s="12" t="n">
        <f aca="false">I28/12</f>
        <v>4000</v>
      </c>
      <c r="M28" s="12" t="n">
        <f aca="false">L28+J28+K28</f>
        <v>4000</v>
      </c>
      <c r="N28" s="12" t="n">
        <f aca="false">L28+K28</f>
        <v>4000</v>
      </c>
      <c r="O28" s="13" t="n">
        <f aca="false">6*L28+M28+5*N28</f>
        <v>48000</v>
      </c>
    </row>
    <row r="29" customFormat="false" ht="24" hidden="false" customHeight="true" outlineLevel="0" collapsed="false">
      <c r="C29" s="16" t="s">
        <v>52</v>
      </c>
      <c r="D29" s="17" t="s">
        <v>53</v>
      </c>
      <c r="E29" s="17" t="s">
        <v>54</v>
      </c>
      <c r="F29" s="17" t="s">
        <v>44</v>
      </c>
      <c r="G29" s="18" t="s">
        <v>36</v>
      </c>
      <c r="H29" s="19" t="n">
        <f aca="false">IF(C29="Martin Aguero",0,2*30/35)</f>
        <v>0</v>
      </c>
      <c r="I29" s="22" t="n">
        <v>180000</v>
      </c>
      <c r="J29" s="12" t="n">
        <f aca="false">IF(E29="Repatriate",1.5*I29/12,0)</f>
        <v>0</v>
      </c>
      <c r="K29" s="12" t="n">
        <f aca="false">IF(C29="Alan McKeon",2000,0)</f>
        <v>0</v>
      </c>
      <c r="L29" s="12" t="n">
        <f aca="false">I29/12</f>
        <v>15000</v>
      </c>
      <c r="M29" s="12" t="n">
        <f aca="false">L29+J29+K29</f>
        <v>15000</v>
      </c>
      <c r="N29" s="12" t="n">
        <f aca="false">L29+K29</f>
        <v>15000</v>
      </c>
      <c r="O29" s="13" t="n">
        <f aca="false">6*L29+M29+5*N29</f>
        <v>180000</v>
      </c>
    </row>
    <row r="30" customFormat="false" ht="24.75" hidden="false" customHeight="true" outlineLevel="0" collapsed="false">
      <c r="C30" s="23" t="s">
        <v>55</v>
      </c>
      <c r="D30" s="23"/>
      <c r="E30" s="23"/>
      <c r="F30" s="23"/>
      <c r="G30" s="23"/>
      <c r="H30" s="24" t="n">
        <f aca="false">SUM(H21:H29)</f>
        <v>13.7142857142857</v>
      </c>
      <c r="I30" s="25" t="n">
        <f aca="false">SUM(I21:I29)</f>
        <v>1368000</v>
      </c>
      <c r="J30" s="26" t="n">
        <f aca="false">SUM(J21:J29)</f>
        <v>76500</v>
      </c>
      <c r="K30" s="26" t="n">
        <f aca="false">SUM(K21:K29)</f>
        <v>2000</v>
      </c>
      <c r="L30" s="26" t="n">
        <f aca="false">SUM(L21:L29)</f>
        <v>114000</v>
      </c>
      <c r="M30" s="26" t="n">
        <f aca="false">SUM(M21:M29)</f>
        <v>192500</v>
      </c>
      <c r="N30" s="26" t="n">
        <f aca="false">SUM(N21:N29)</f>
        <v>116000</v>
      </c>
      <c r="O30" s="27" t="n">
        <f aca="false">SUM(O21:O29)</f>
        <v>1456500</v>
      </c>
    </row>
    <row r="33" customFormat="false" ht="21.75" hidden="false" customHeight="true" outlineLevel="0" collapsed="false">
      <c r="C33" s="5" t="s">
        <v>56</v>
      </c>
      <c r="D33" s="5"/>
      <c r="E33" s="5"/>
      <c r="F33" s="5"/>
      <c r="G33" s="5"/>
      <c r="H33" s="5"/>
      <c r="I33" s="5"/>
      <c r="J33" s="5"/>
      <c r="K33" s="5"/>
      <c r="L33" s="5"/>
      <c r="M33" s="5"/>
      <c r="N33" s="5"/>
      <c r="O33" s="5"/>
    </row>
    <row r="34" customFormat="false" ht="49.5" hidden="false" customHeight="true" outlineLevel="0" collapsed="false">
      <c r="C34" s="28" t="s">
        <v>57</v>
      </c>
      <c r="D34" s="28"/>
      <c r="E34" s="28"/>
      <c r="F34" s="28"/>
      <c r="G34" s="28"/>
      <c r="H34" s="28"/>
      <c r="I34" s="28"/>
      <c r="J34" s="28"/>
      <c r="K34" s="28"/>
      <c r="L34" s="28"/>
      <c r="M34" s="28"/>
      <c r="N34" s="28"/>
      <c r="O34" s="28"/>
    </row>
    <row r="35" customFormat="false" ht="15" hidden="false" customHeight="false" outlineLevel="0" collapsed="false">
      <c r="C35" s="28"/>
      <c r="D35" s="28"/>
      <c r="E35" s="28"/>
      <c r="F35" s="28"/>
      <c r="G35" s="28"/>
      <c r="H35" s="28"/>
      <c r="I35" s="28"/>
      <c r="J35" s="28"/>
      <c r="K35" s="28"/>
      <c r="L35" s="28"/>
      <c r="M35" s="28"/>
      <c r="N35" s="28"/>
      <c r="O35" s="28"/>
    </row>
    <row r="36" customFormat="false" ht="15" hidden="false" customHeight="false" outlineLevel="0" collapsed="false">
      <c r="C36" s="28"/>
      <c r="D36" s="28"/>
      <c r="E36" s="28"/>
      <c r="F36" s="28"/>
      <c r="G36" s="28"/>
      <c r="H36" s="28"/>
      <c r="I36" s="28"/>
      <c r="J36" s="28"/>
      <c r="K36" s="28"/>
      <c r="L36" s="28"/>
      <c r="M36" s="28"/>
      <c r="N36" s="28"/>
      <c r="O36" s="28"/>
    </row>
  </sheetData>
  <mergeCells count="11">
    <mergeCell ref="C3:O3"/>
    <mergeCell ref="C5:O5"/>
    <mergeCell ref="C6:O6"/>
    <mergeCell ref="C8:O9"/>
    <mergeCell ref="C11:G11"/>
    <mergeCell ref="I11:O11"/>
    <mergeCell ref="I12:O15"/>
    <mergeCell ref="C18:O18"/>
    <mergeCell ref="C30:G30"/>
    <mergeCell ref="C33:O33"/>
    <mergeCell ref="C34:O36"/>
  </mergeCells>
  <conditionalFormatting sqref="O21:O29">
    <cfRule type="dataBar" priority="2">
      <dataBar showValue="1" minLength="10" maxLength="90">
        <cfvo type="min" val="0"/>
        <cfvo type="max" val="0"/>
        <color rgb="FF135B44"/>
      </dataBar>
      <extLst>
        <ext xmlns:x14="http://schemas.microsoft.com/office/spreadsheetml/2009/9/main" uri="{B025F937-C7B1-47D3-B67F-A62EFF666E3E}">
          <x14:id>{13F92CCC-17D2-4C4A-A5B0-C9E636234E6E}</x14:id>
        </ext>
      </extLst>
    </cfRule>
  </conditionalFormatting>
  <printOptions headings="false" gridLines="false" gridLinesSet="true" horizontalCentered="false" verticalCentered="false"/>
  <pageMargins left="0.2" right="0.2" top="0.25" bottom="0.25" header="0.511811023622047" footer="0.5"/>
  <pageSetup paperSize="3" scale="100" fitToWidth="1" fitToHeight="1" pageOrder="downThenOver" orientation="landscape" blackAndWhite="false" draft="false" cellComments="none" horizontalDpi="300" verticalDpi="300" copies="1"/>
  <headerFooter differentFirst="false" differentOddEven="false">
    <oddHeader/>
    <oddFooter>&amp;C&amp;8 Manpower Cost Summary | Page &amp;P of &amp;N</oddFooter>
  </headerFooter>
  <legacyDrawing r:id="rId2"/>
  <extLst>
    <ext xmlns:x14="http://schemas.microsoft.com/office/spreadsheetml/2009/9/main" uri="{78C0D931-6437-407d-A8EE-F0AAD7539E65}">
      <x14:conditionalFormattings>
        <x14:conditionalFormatting xmlns:xm="http://schemas.microsoft.com/office/excel/2006/main">
          <x14:cfRule type="dataBar" id="{13F92CCC-17D2-4C4A-A5B0-C9E636234E6E}">
            <x14:dataBar minLength="10" maxLength="90" axisPosition="none" gradient="true">
              <x14:cfvo type="min"/>
              <x14:cfvo type="max"/>
              <x14:negativeFillColor rgb="FF135B44"/>
              <x14:axisColor rgb="FF000000"/>
            </x14:dataBar>
          </x14:cfRule>
          <xm:sqref>O21:O29</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2026-09-08T19:41:42Z</dcterms:created>
  <dc:creator>openpyxl</dc:creator>
  <dc:description/>
  <dc:language>en-US</dc:language>
  <cp:lastModifiedBy/>
  <dcterms:modified xsi:type="dcterms:W3CDTF">2026-09-08T19:41:42Z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