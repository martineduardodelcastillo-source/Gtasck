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npower Cost Summary" sheetId="1" state="visible" r:id="rId3"/>
  </sheets>
  <definedNames>
    <definedName function="false" hidden="false" localSheetId="0" name="_xlnm.Print_Area" vbProcedure="false">'Manpower Cost Summary'!$B$2:$N$54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C8" authorId="0">
      <text>
        <r>
          <rPr>
            <sz val="10"/>
            <rFont val="Arial"/>
            <family val="2"/>
          </rPr>
          <t xml:space="preserve">Source: management instruction in this task through 7–8 September 2026. Tax, payroll, labor-law, secondee reimbursement and residence treatment require review before implementation.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1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Person. One-time M7 transition package. Origin-country employee tax assumption; no company gross-up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16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Person. Initial secondee. 60% salary-share reimbursement is a working assumption pending Barbara's confirmation and any cap.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16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Person. One-time M7 transition package. Origin-country employee tax assumption; no company gross-up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16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Person. Initial secondee. $2,000/month housing from M7; home leave stated but not costed. 60% salary-share reimbursement pending Barbara's confirmation and any cap.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61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Person. Remote designation and local benefit treatment remain subject to confirmation.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Person. Rotation is confirmed; expatriate contract treatment remains subject to confirmation.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Person. Local / staff-house approach; no cash housing allowance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5</xdr:row>
                <xdr:rowOff>11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Person. Open role; salary is a budget placeholder. Contract and benefits remain TBD.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Person. Already assigned to the project as a local secondee. 60% salary-share reimbursement is a working assumption pending Barbara's confirmation and any cap.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46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Position. One-time M7 transition package. Origin-country employee tax assumption; no company gross-up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16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Position. Initial secondee. 60% salary-share reimbursement is a working assumption pending Barbara's confirmation and any cap.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16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Position. One-time M7 transition package. Origin-country employee tax assumption; no company gross-up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16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Position. Initial secondee. $2,000/month housing from M7; home leave stated but not costed. 60% salary-share reimbursement pending Barbara's confirmation and any cap.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61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Position. Remote designation and local benefit treatment remain subject to confirmation.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Position. Rotation is confirmed; expatriate contract treatment remains subject to confirmation.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Position. Local / staff-house approach; no cash housing allowance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5</xdr:row>
                <xdr:rowOff>11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Position. Open role; salary is a budget placeholder. Contract and benefits remain TBD.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Position. Already assigned to the project as a local secondee. 60% salary-share reimbursement is a working assumption pending Barbara's confirmation and any cap.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46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Base Salary (Annual). One-time M7 transition package. Origin-country employee tax assumption; no company gross-up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16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Base Salary (Annual). Initial secondee. 60% salary-share reimbursement is a working assumption pending Barbara's confirmation and any cap.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31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Base Salary (Annual). One-time M7 transition package. Origin-country employee tax assumption; no company gross-up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16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Base Salary (Annual). Initial secondee. $2,000/month housing from M7; home leave stated but not costed. 60% salary-share reimbursement pending Barbara's confirmation and any cap.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61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Base Salary (Annual). Remote designation and local benefit treatment remain subject to confirmation.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1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Base Salary (Annual). Rotation is confirmed; expatriate contract treatment remains subject to confirmation.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1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Base Salary (Annual). Local / staff-house approach; no cash housing allowance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Base Salary (Annual). Open role; salary is a budget placeholder. Contract and benefits remain TBD.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Source: user-provided annual compensation table, reviewed 7–8 September 2026; field: Base Salary (Annual). Already assigned to the project as a local secondee. 60% salary-share reimbursement is a working assumption pending Barbara's confirmation and any cap.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46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Source: management instruction in this task through 7–8 September 2026. One-time M7 transition package. Origin-country employee tax assumption; no company gross-up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1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Source: management instruction in this task through 7–8 September 2026. Initial secondee. 60% salary-share reimbursement is a working assumption pending Barbara's confirmation and any cap.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16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Source: management instruction in this task through 7–8 September 2026. One-time M7 transition package. Origin-country employee tax assumption; no company gross-up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1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Source: management instruction in this task through 7–8 September 2026. Initial secondee. $2,000/month housing from M7; home leave stated but not costed. 60% salary-share reimbursement pending Barbara's confirmation and any cap.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46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Source: management instruction in this task through 7–8 September 2026. Remote designation and local benefit treatment remain subject to confirmation.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Source: management instruction in this task through 7–8 September 2026. Rotation is confirmed; expatriate contract treatment remains subject to confirmation.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Source: management instruction in this task through 7–8 September 2026. Local / staff-house approach; no cash housing allowance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5</xdr:row>
                <xdr:rowOff>11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Source: management instruction in this task through 7–8 September 2026. Open role; salary is a budget placeholder. Contract and benefits remain TBD.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5</xdr:row>
                <xdr:rowOff>11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Source: management instruction in this task through 7–8 September 2026. Already assigned to the project as a local secondee. 60% salary-share reimbursement is a working assumption pending Barbara's confirmation and any cap.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31</xdr:rowOff>
              </xdr:to>
            </anchor>
          </commentPr>
        </mc:Choice>
        <mc:Fallback/>
      </mc:AlternateContent>
    </comment>
    <comment ref="E37" authorId="0">
      <text>
        <r>
          <rPr>
            <sz val="10"/>
            <rFont val="Arial"/>
            <family val="2"/>
          </rPr>
          <t xml:space="preserve">Source: management instruction in this task through 7–8 September 2026. One-time M7 repatriation / localization package equals 1.5 times monthly salary for repatriates.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E38" authorId="0">
      <text>
        <r>
          <rPr>
            <sz val="10"/>
            <rFont val="Arial"/>
            <family val="2"/>
          </rPr>
          <t xml:space="preserve">Source: management instruction in this task through 7–8 September 2026. One-time M7 repatriation / localization package equals 1.5 times monthly salary for repatriates.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E39" authorId="0">
      <text>
        <r>
          <rPr>
            <sz val="10"/>
            <rFont val="Arial"/>
            <family val="2"/>
          </rPr>
          <t xml:space="preserve">Source: management instruction in this task through 7–8 September 2026. One-time M7 repatriation / localization package equals 1.5 times monthly salary for repatriates.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E40" authorId="0">
      <text>
        <r>
          <rPr>
            <sz val="10"/>
            <rFont val="Arial"/>
            <family val="2"/>
          </rPr>
          <t xml:space="preserve">Source: management instruction in this task through 7–8 September 2026. One-time M7 repatriation / localization package equals 1.5 times monthly salary for repatriates.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E41" authorId="0">
      <text>
        <r>
          <rPr>
            <sz val="10"/>
            <rFont val="Arial"/>
            <family val="2"/>
          </rPr>
          <t xml:space="preserve">Source: management instruction in this task through 7–8 September 2026. One-time M7 repatriation / localization package equals 1.5 times monthly salary for repatriates.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E42" authorId="0">
      <text>
        <r>
          <rPr>
            <sz val="10"/>
            <rFont val="Arial"/>
            <family val="2"/>
          </rPr>
          <t xml:space="preserve">Source: management instruction in this task through 7–8 September 2026. One-time M7 repatriation / localization package equals 1.5 times monthly salary for repatriates.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E43" authorId="0">
      <text>
        <r>
          <rPr>
            <sz val="10"/>
            <rFont val="Arial"/>
            <family val="2"/>
          </rPr>
          <t xml:space="preserve">Source: management instruction in this task through 7–8 September 2026. One-time M7 repatriation / localization package equals 1.5 times monthly salary for repatriates.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E44" authorId="0">
      <text>
        <r>
          <rPr>
            <sz val="10"/>
            <rFont val="Arial"/>
            <family val="2"/>
          </rPr>
          <t xml:space="preserve">Source: management instruction in this task through 7–8 September 2026. One-time M7 repatriation / localization package equals 1.5 times monthly salary for repatriates.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E45" authorId="0">
      <text>
        <r>
          <rPr>
            <sz val="10"/>
            <rFont val="Arial"/>
            <family val="2"/>
          </rPr>
          <t xml:space="preserve">Source: management instruction in this task through 7–8 September 2026. One-time M7 repatriation / localization package equals 1.5 times monthly salary for repatriates.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Source: management instruction in this task through 7–8 September 2026. One-time M7 transition package. Origin-country employee tax assumption; no company gross-up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1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Source: management instruction in this task through 7–8 September 2026. Initial secondee. 60% salary-share reimbursement is a working assumption pending Barbara's confirmation and any cap.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16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Source: management instruction in this task through 7–8 September 2026. One-time M7 transition package. Origin-country employee tax assumption; no company gross-up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1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Source: management instruction in this task through 7–8 September 2026. Initial secondee. $2,000/month housing from M7; home leave stated but not costed. 60% salary-share reimbursement pending Barbara's confirmation and any cap.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46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Source: management instruction in this task through 7–8 September 2026. Remote designation and local benefit treatment remain subject to confirmation.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Source: management instruction in this task through 7–8 September 2026. Rotation is confirmed; expatriate contract treatment remains subject to confirmation.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Source: management instruction in this task through 7–8 September 2026. Local / staff-house approach; no cash housing allowance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5</xdr:row>
                <xdr:rowOff>11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Source: management instruction in this task through 7–8 September 2026. Open role; salary is a budget placeholder. Contract and benefits remain TBD.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5</xdr:row>
                <xdr:rowOff>11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Source: management instruction in this task through 7–8 September 2026. Already assigned to the project as a local secondee. 60% salary-share reimbursement is a working assumption pending Barbara's confirmation and any cap.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31</xdr:rowOff>
              </xdr:to>
            </anchor>
          </commentPr>
        </mc:Choice>
        <mc:Fallback/>
      </mc:AlternateContent>
    </comment>
    <comment ref="F37" authorId="0">
      <text>
        <r>
          <rPr>
            <sz val="10"/>
            <rFont val="Arial"/>
            <family val="2"/>
          </rPr>
          <t xml:space="preserve">Source: management instruction in this task through 7–8 September 2026. Alan McKeon receives $2,000 per month housing from M7 due to family relocation to Maracaibo.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F38" authorId="0">
      <text>
        <r>
          <rPr>
            <sz val="10"/>
            <rFont val="Arial"/>
            <family val="2"/>
          </rPr>
          <t xml:space="preserve">Source: management instruction in this task through 7–8 September 2026. Alan McKeon receives $2,000 per month housing from M7 due to family relocation to Maracaibo.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Source: management instruction in this task through 7–8 September 2026. Alan McKeon receives $2,000 per month housing from M7 due to family relocation to Maracaibo.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F40" authorId="0">
      <text>
        <r>
          <rPr>
            <sz val="10"/>
            <rFont val="Arial"/>
            <family val="2"/>
          </rPr>
          <t xml:space="preserve">Source: management instruction in this task through 7–8 September 2026. Alan McKeon receives $2,000 per month housing from M7 due to family relocation to Maracaibo.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F41" authorId="0">
      <text>
        <r>
          <rPr>
            <sz val="10"/>
            <rFont val="Arial"/>
            <family val="2"/>
          </rPr>
          <t xml:space="preserve">Source: management instruction in this task through 7–8 September 2026. Alan McKeon receives $2,000 per month housing from M7 due to family relocation to Maracaibo.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F42" authorId="0">
      <text>
        <r>
          <rPr>
            <sz val="10"/>
            <rFont val="Arial"/>
            <family val="2"/>
          </rPr>
          <t xml:space="preserve">Source: management instruction in this task through 7–8 September 2026. Alan McKeon receives $2,000 per month housing from M7 due to family relocation to Maracaibo.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F43" authorId="0">
      <text>
        <r>
          <rPr>
            <sz val="10"/>
            <rFont val="Arial"/>
            <family val="2"/>
          </rPr>
          <t xml:space="preserve">Source: management instruction in this task through 7–8 September 2026. Alan McKeon receives $2,000 per month housing from M7 due to family relocation to Maracaibo.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F44" authorId="0">
      <text>
        <r>
          <rPr>
            <sz val="10"/>
            <rFont val="Arial"/>
            <family val="2"/>
          </rPr>
          <t xml:space="preserve">Source: management instruction in this task through 7–8 September 2026. Alan McKeon receives $2,000 per month housing from M7 due to family relocation to Maracaibo.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F45" authorId="0">
      <text>
        <r>
          <rPr>
            <sz val="10"/>
            <rFont val="Arial"/>
            <family val="2"/>
          </rPr>
          <t xml:space="preserve">Source: management instruction in this task through 7–8 September 2026. Alan McKeon receives $2,000 per month housing from M7 due to family relocation to Maracaibo.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Source: management instruction in this task through 7–8 September 2026. One-time M7 transition package. Origin-country employee tax assumption; no company gross-up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1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Source: management instruction in this task through 7–8 September 2026. Initial secondee. 60% salary-share reimbursement is a working assumption pending Barbara's confirmation and any cap.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16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Source: management instruction in this task through 7–8 September 2026. One-time M7 transition package. Origin-country employee tax assumption; no company gross-up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1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Source: management instruction in this task through 7–8 September 2026. Initial secondee. $2,000/month housing from M7; home leave stated but not costed. 60% salary-share reimbursement pending Barbara's confirmation and any cap.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46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Source: management instruction in this task through 7–8 September 2026. Remote designation and local benefit treatment remain subject to confirmation.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Source: management instruction in this task through 7–8 September 2026. Rotation is confirmed; expatriate contract treatment remains subject to confirmation.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6</xdr:row>
                <xdr:rowOff>6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Source: management instruction in this task through 7–8 September 2026. Local / staff-house approach; no cash housing allowance modeled.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5</xdr:row>
                <xdr:rowOff>11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Source: management instruction in this task through 7–8 September 2026. Open role; salary is a budget placeholder. Contract and benefits remain TBD.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5</xdr:row>
                <xdr:rowOff>11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Source: management instruction in this task through 7–8 September 2026. Already assigned to the project as a local secondee. 60% salary-share reimbursement is a working assumption pending Barbara's confirmation and any cap.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31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Source: management instruction in this task through 7–8 September 2026. M1–M6 rotation assumption: 21 days on / 14 days off. Two ticket legs per 35-day cycle, or 1.71 tickets per month. Martin Aguero is local and has no rotation tickets.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31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Source: management instruction in this task through 7–8 September 2026. M1–M6 rotation assumption: 21 days on / 14 days off. Two ticket legs per 35-day cycle, or 1.71 tickets per month. Martin Aguero is local and has no rotation tickets.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31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Source: management instruction in this task through 7–8 September 2026. M1–M6 rotation assumption: 21 days on / 14 days off. Two ticket legs per 35-day cycle, or 1.71 tickets per month. Martin Aguero is local and has no rotation tickets.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31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Source: management instruction in this task through 7–8 September 2026. M1–M6 rotation assumption: 21 days on / 14 days off. Two ticket legs per 35-day cycle, or 1.71 tickets per month. Martin Aguero is local and has no rotation tickets.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31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Source: management instruction in this task through 7–8 September 2026. M1–M6 rotation assumption: 21 days on / 14 days off. Two ticket legs per 35-day cycle, or 1.71 tickets per month. Martin Aguero is local and has no rotation tickets.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31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Source: management instruction in this task through 7–8 September 2026. M1–M6 rotation assumption: 21 days on / 14 days off. Two ticket legs per 35-day cycle, or 1.71 tickets per month. Martin Aguero is local and has no rotation tickets.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31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Source: management instruction in this task through 7–8 September 2026. M1–M6 rotation assumption: 21 days on / 14 days off. Two ticket legs per 35-day cycle, or 1.71 tickets per month. Martin Aguero is local and has no rotation tickets.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31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Source: management instruction in this task through 7–8 September 2026. M1–M6 rotation assumption: 21 days on / 14 days off. Two ticket legs per 35-day cycle, or 1.71 tickets per month. Martin Aguero is local and has no rotation tickets.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31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Source: management instruction in this task through 7–8 September 2026. M1–M6 rotation assumption: 21 days on / 14 days off. Two ticket legs per 35-day cycle, or 1.71 tickets per month. Martin Aguero is local and has no rotation tickets.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31</xdr:rowOff>
              </xdr:to>
            </anchor>
          </commentPr>
        </mc:Choice>
        <mc:Fallback/>
      </mc:AlternateContent>
    </comment>
    <comment ref="J12" authorId="0">
      <text>
        <r>
          <rPr>
            <sz val="10"/>
            <rFont val="Arial"/>
            <family val="2"/>
          </rPr>
          <t xml:space="preserve">Source: management instruction in this task through 7–8 September 2026. Airswift and Barbara actions remain pending; associated costs and reimbursement limits require confirmation.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29</xdr:colOff>
                <xdr:row>0</xdr:row>
                <xdr:rowOff>2</xdr:rowOff>
              </xdr:from>
              <xdr:to>
                <xdr:col>3</xdr:col>
                <xdr:colOff>-54</xdr:colOff>
                <xdr:row>7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<sst xmlns="http://schemas.openxmlformats.org/spreadsheetml/2006/main" count="80" uniqueCount="60">
  <si>
    <t xml:space="preserve">Petrourdaneta — Manpower Cost Summary</t>
  </si>
  <si>
    <t xml:space="preserve">Single-sheet executive model | Overall monthly and annual manpower cost | COO excluded | USD</t>
  </si>
  <si>
    <t xml:space="preserve">Blue = source input | Black = formula | Health care and ticket costs excluded pending Airswift confirmation</t>
  </si>
  <si>
    <t xml:space="preserve">BIG NOTE — Alexander Stulme, Alan McKeon and Martin Aguero are secondees. Net cost deducts an indicative 60% reimbursement of their base salaries only, pending Barbara's confirmation of eligibility and any cap. Repatriates receive the one-time M7 package and then become local. Alan remains an expat with $2,000/month housing from M7.</t>
  </si>
  <si>
    <t xml:space="preserve">OVERALL MANPOWER COST</t>
  </si>
  <si>
    <t xml:space="preserve">AIRSWHIFT AND BARBARA ACTIONS</t>
  </si>
  <si>
    <t xml:space="preserve">Metric</t>
  </si>
  <si>
    <t xml:space="preserve">M1–M6 / Month</t>
  </si>
  <si>
    <t xml:space="preserve">M7</t>
  </si>
  <si>
    <t xml:space="preserve">M8–M12 / Month</t>
  </si>
  <si>
    <t xml:space="preserve">Year 1</t>
  </si>
  <si>
    <t xml:space="preserve">Airswift: confirm medical coverage, eligibility, insurer, pricing and ticket booking / fare scope. Health care and ticket costs are not included. Rotation planning assumes 21 days on / 14 days off: 1.71 tickets per transition role per month, 13.71 tickets monthly in total. Barbara: confirm the 60% secondee base-salary reimbursement, eligibility and any cap.</t>
  </si>
  <si>
    <t xml:space="preserve">Gross manpower cost</t>
  </si>
  <si>
    <t xml:space="preserve">Less: PU salary share @60%</t>
  </si>
  <si>
    <t xml:space="preserve">NET manpower cost</t>
  </si>
  <si>
    <t xml:space="preserve">PERSONNEL, CONTRACT AND ROTATION PLAN</t>
  </si>
  <si>
    <t xml:space="preserve">Person</t>
  </si>
  <si>
    <t xml:space="preserve">Position</t>
  </si>
  <si>
    <t xml:space="preserve">M1–M6 Contract</t>
  </si>
  <si>
    <t xml:space="preserve">M7+ Basis</t>
  </si>
  <si>
    <t xml:space="preserve">PU Salary Share</t>
  </si>
  <si>
    <t xml:space="preserve">Tickets / Mo M1–M6</t>
  </si>
  <si>
    <t xml:space="preserve">Juan Conde</t>
  </si>
  <si>
    <t xml:space="preserve">EPCM &amp; Engineering Manager</t>
  </si>
  <si>
    <t xml:space="preserve">Repatriate</t>
  </si>
  <si>
    <t xml:space="preserve">Local — Venezuela</t>
  </si>
  <si>
    <t xml:space="preserve">—</t>
  </si>
  <si>
    <t xml:space="preserve">Alexander Stulme</t>
  </si>
  <si>
    <t xml:space="preserve">Drilling &amp; Well Services Manager</t>
  </si>
  <si>
    <t xml:space="preserve">60%</t>
  </si>
  <si>
    <t xml:space="preserve">Félix Valderrama</t>
  </si>
  <si>
    <t xml:space="preserve">Operations &amp; Maintenance Manager</t>
  </si>
  <si>
    <t xml:space="preserve">Alan McKeon</t>
  </si>
  <si>
    <t xml:space="preserve">Technical Manager (Geosciences)</t>
  </si>
  <si>
    <t xml:space="preserve">Expat</t>
  </si>
  <si>
    <t xml:space="preserve">JJI</t>
  </si>
  <si>
    <t xml:space="preserve">Reservoir Engineer</t>
  </si>
  <si>
    <t xml:space="preserve">Local</t>
  </si>
  <si>
    <t xml:space="preserve">Marcelo Dantas</t>
  </si>
  <si>
    <t xml:space="preserve">Rig Company Man</t>
  </si>
  <si>
    <t xml:space="preserve">Jose Miguel</t>
  </si>
  <si>
    <t xml:space="preserve">Planning &amp; PMO</t>
  </si>
  <si>
    <t xml:space="preserve">TBD — Person to be defined</t>
  </si>
  <si>
    <t xml:space="preserve">Operations Support</t>
  </si>
  <si>
    <t xml:space="preserve">TBD</t>
  </si>
  <si>
    <t xml:space="preserve">Martin Aguero</t>
  </si>
  <si>
    <t xml:space="preserve">Infrastructure Manager</t>
  </si>
  <si>
    <t xml:space="preserve">Local Secondee</t>
  </si>
  <si>
    <t xml:space="preserve">TOTAL TICKETS / MONTH M1–M6</t>
  </si>
  <si>
    <t xml:space="preserve">MANPOWER COST BY PERSON — HEALTH CARE AND TICKETS EXCLUDED</t>
  </si>
  <si>
    <t xml:space="preserve">Annual Salary</t>
  </si>
  <si>
    <t xml:space="preserve">M7 Package</t>
  </si>
  <si>
    <t xml:space="preserve">Housing / Month</t>
  </si>
  <si>
    <t xml:space="preserve">M1–M6 / Mo</t>
  </si>
  <si>
    <t xml:space="preserve">M7 Cost</t>
  </si>
  <si>
    <t xml:space="preserve">M8–M12 / Mo</t>
  </si>
  <si>
    <t xml:space="preserve">Year 1 Cost</t>
  </si>
  <si>
    <t xml:space="preserve">TOTAL GROSS COST</t>
  </si>
  <si>
    <t xml:space="preserve">REFERENCES AND MODEL SCOPE</t>
  </si>
  <si>
    <t xml:space="preserve">References: user-provided annual compensation table reviewed 7–8 September 2026, and management instructions in this task. Health care and ticket costs are excluded pending Airswift confirmation. Net cost deducts only 60% of relevant secondee base salaries as a provisional reimbursement; Barbara must confirm eligibility and any cap. Performance bonuses and stock options are not included.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</si>
</sst>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.0;[RED]&quot;($&quot;#,##0.0\);\-"/>
    <numFmt numFmtId="166" formatCode="#,##0.0;[RED]&quot;($&quot;#,##0.0\);\-"/>
    <numFmt numFmtId="167" formatCode="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FFFFFF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35B44"/>
        <bgColor rgb="FF333333"/>
      </patternFill>
    </fill>
    <fill>
      <patternFill patternType="solid">
        <fgColor rgb="FFCFE9E0"/>
        <bgColor rgb="FFCCFFFF"/>
      </patternFill>
    </fill>
    <fill>
      <patternFill patternType="solid">
        <fgColor rgb="FFFFF3E0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/>
      <top style="thin">
        <color rgb="FFB7B7B7"/>
      </top>
      <bottom style="thin">
        <color rgb="FFB7B7B7"/>
      </bottom>
      <diagonal/>
    </border>
    <border diagonalUp="false" diagonalDown="false">
      <left/>
      <right/>
      <top style="thin">
        <color rgb="FFB7B7B7"/>
      </top>
      <bottom style="thin">
        <color rgb="FFB7B7B7"/>
      </bottom>
      <diagonal/>
    </border>
    <border diagonalUp="false" diagonalDown="false">
      <left/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/>
      <right/>
      <top style="medium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0" fillId="0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3E0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FE9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35B4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3:N54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2" ySplit="19" topLeftCell="C20" activePane="bottomRight" state="frozen"/>
      <selection pane="topLeft" activeCell="A1" activeCellId="0" sqref="A1"/>
      <selection pane="topRight" activeCell="C1" activeCellId="0" sqref="C1"/>
      <selection pane="bottomLeft" activeCell="A20" activeCellId="0" sqref="A20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2" min="1" style="0" width="3"/>
    <col collapsed="false" customWidth="true" hidden="false" outlineLevel="0" max="3" min="3" style="0" width="27"/>
    <col collapsed="false" customWidth="true" hidden="false" outlineLevel="0" max="4" min="4" style="0" width="33"/>
    <col collapsed="false" customWidth="true" hidden="false" outlineLevel="0" max="5" min="5" style="0" width="18"/>
    <col collapsed="false" customWidth="true" hidden="false" outlineLevel="0" max="6" min="6" style="0" width="19"/>
    <col collapsed="false" customWidth="true" hidden="false" outlineLevel="0" max="7" min="7" style="0" width="15"/>
    <col collapsed="false" customWidth="true" hidden="false" outlineLevel="0" max="8" min="8" style="0" width="17"/>
    <col collapsed="false" customWidth="true" hidden="false" outlineLevel="0" max="14" min="9" style="0" width="16"/>
  </cols>
  <sheetData>
    <row r="3" customFormat="false" ht="28.5" hidden="false" customHeight="true" outlineLevel="0" collapsed="false">
      <c r="C3" s="1" t="s">
        <v>0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5" customFormat="false" ht="15" hidden="false" customHeight="false" outlineLevel="0" collapsed="false">
      <c r="C5" s="2" t="s">
        <v>1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</row>
    <row r="6" customFormat="false" ht="15" hidden="false" customHeight="false" outlineLevel="0" collapsed="false">
      <c r="C6" s="3" t="s">
        <v>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8" customFormat="false" ht="48" hidden="false" customHeight="true" outlineLevel="0" collapsed="false">
      <c r="C8" s="4" t="s">
        <v>3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customFormat="false" ht="15" hidden="false" customHeight="false" outlineLevel="0" collapsed="false"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</row>
    <row r="11" customFormat="false" ht="24" hidden="false" customHeight="true" outlineLevel="0" collapsed="false">
      <c r="C11" s="5" t="s">
        <v>4</v>
      </c>
      <c r="D11" s="5"/>
      <c r="E11" s="5"/>
      <c r="F11" s="5"/>
      <c r="G11" s="5"/>
      <c r="J11" s="5" t="s">
        <v>5</v>
      </c>
      <c r="K11" s="5"/>
      <c r="L11" s="5"/>
      <c r="M11" s="5"/>
      <c r="N11" s="5"/>
    </row>
    <row r="12" customFormat="false" ht="75.75" hidden="false" customHeight="true" outlineLevel="0" collapsed="false">
      <c r="C12" s="6" t="s">
        <v>6</v>
      </c>
      <c r="D12" s="7" t="s">
        <v>7</v>
      </c>
      <c r="E12" s="8" t="s">
        <v>8</v>
      </c>
      <c r="F12" s="7" t="s">
        <v>9</v>
      </c>
      <c r="G12" s="9" t="s">
        <v>10</v>
      </c>
      <c r="J12" s="10" t="s">
        <v>11</v>
      </c>
      <c r="K12" s="10"/>
      <c r="L12" s="10"/>
      <c r="M12" s="10"/>
      <c r="N12" s="10"/>
    </row>
    <row r="13" customFormat="false" ht="24.75" hidden="false" customHeight="true" outlineLevel="0" collapsed="false">
      <c r="C13" s="11" t="s">
        <v>12</v>
      </c>
      <c r="D13" s="12" t="n">
        <f aca="false">SUM(G37:G45)</f>
        <v>114000</v>
      </c>
      <c r="E13" s="13" t="n">
        <f aca="false">SUM(H37:H45)</f>
        <v>192500</v>
      </c>
      <c r="F13" s="13" t="n">
        <f aca="false">SUM(I37:I45)</f>
        <v>116000</v>
      </c>
      <c r="G13" s="14" t="n">
        <f aca="false">SUM(J37:J45)</f>
        <v>1456500</v>
      </c>
      <c r="J13" s="10"/>
      <c r="K13" s="10"/>
      <c r="L13" s="10"/>
      <c r="M13" s="10"/>
      <c r="N13" s="10"/>
    </row>
    <row r="14" customFormat="false" ht="24.75" hidden="false" customHeight="true" outlineLevel="0" collapsed="false">
      <c r="C14" s="11" t="s">
        <v>13</v>
      </c>
      <c r="D14" s="13" t="n">
        <f aca="false">-SUMIF($G$21:$G$29,"60%",$D$37:$D$45)*60%/12</f>
        <v>-27000</v>
      </c>
      <c r="E14" s="13" t="n">
        <f aca="false">-SUMIF($G$21:$G$29,"60%",$D$37:$D$45)*60%/12</f>
        <v>-27000</v>
      </c>
      <c r="F14" s="13" t="n">
        <f aca="false">-SUMIF($G$21:$G$29,"60%",$D$37:$D$45)*60%/12</f>
        <v>-27000</v>
      </c>
      <c r="G14" s="14" t="n">
        <f aca="false">-SUMIF($G$21:$G$29,"60%",$D$37:$D$45)*60%</f>
        <v>-324000</v>
      </c>
      <c r="J14" s="10"/>
      <c r="K14" s="10"/>
      <c r="L14" s="10"/>
      <c r="M14" s="10"/>
      <c r="N14" s="10"/>
    </row>
    <row r="15" customFormat="false" ht="24.75" hidden="false" customHeight="true" outlineLevel="0" collapsed="false">
      <c r="C15" s="15" t="s">
        <v>14</v>
      </c>
      <c r="D15" s="16" t="n">
        <f aca="false">D13+D14</f>
        <v>87000</v>
      </c>
      <c r="E15" s="16" t="n">
        <f aca="false">E13+E14</f>
        <v>165500</v>
      </c>
      <c r="F15" s="16" t="n">
        <f aca="false">F13+F14</f>
        <v>89000</v>
      </c>
      <c r="G15" s="16" t="n">
        <f aca="false">G13+G14</f>
        <v>1132500</v>
      </c>
      <c r="J15" s="10"/>
      <c r="K15" s="10"/>
      <c r="L15" s="10"/>
      <c r="M15" s="10"/>
      <c r="N15" s="10"/>
    </row>
    <row r="18" customFormat="false" ht="24" hidden="false" customHeight="true" outlineLevel="0" collapsed="false">
      <c r="C18" s="5" t="s">
        <v>15</v>
      </c>
      <c r="D18" s="5"/>
      <c r="E18" s="5"/>
      <c r="F18" s="5"/>
      <c r="G18" s="5"/>
      <c r="H18" s="5"/>
    </row>
    <row r="20" customFormat="false" ht="37.5" hidden="false" customHeight="true" outlineLevel="0" collapsed="false">
      <c r="C20" s="6" t="s">
        <v>16</v>
      </c>
      <c r="D20" s="7" t="s">
        <v>17</v>
      </c>
      <c r="E20" s="7" t="s">
        <v>18</v>
      </c>
      <c r="F20" s="7" t="s">
        <v>19</v>
      </c>
      <c r="G20" s="7" t="s">
        <v>20</v>
      </c>
      <c r="H20" s="9" t="s">
        <v>21</v>
      </c>
    </row>
    <row r="21" customFormat="false" ht="30" hidden="false" customHeight="true" outlineLevel="0" collapsed="false">
      <c r="C21" s="17" t="s">
        <v>22</v>
      </c>
      <c r="D21" s="18" t="s">
        <v>23</v>
      </c>
      <c r="E21" s="18" t="s">
        <v>24</v>
      </c>
      <c r="F21" s="18" t="s">
        <v>25</v>
      </c>
      <c r="G21" s="18" t="s">
        <v>26</v>
      </c>
      <c r="H21" s="19" t="n">
        <f aca="false">IF(C21="Martin Aguero",0,2*30/35)</f>
        <v>1.71428571428571</v>
      </c>
    </row>
    <row r="22" customFormat="false" ht="30" hidden="false" customHeight="true" outlineLevel="0" collapsed="false">
      <c r="C22" s="17" t="s">
        <v>27</v>
      </c>
      <c r="D22" s="18" t="s">
        <v>28</v>
      </c>
      <c r="E22" s="18" t="s">
        <v>24</v>
      </c>
      <c r="F22" s="18" t="s">
        <v>25</v>
      </c>
      <c r="G22" s="18" t="s">
        <v>29</v>
      </c>
      <c r="H22" s="19" t="n">
        <f aca="false">IF(C22="Martin Aguero",0,2*30/35)</f>
        <v>1.71428571428571</v>
      </c>
    </row>
    <row r="23" customFormat="false" ht="30" hidden="false" customHeight="true" outlineLevel="0" collapsed="false">
      <c r="C23" s="17" t="s">
        <v>30</v>
      </c>
      <c r="D23" s="18" t="s">
        <v>31</v>
      </c>
      <c r="E23" s="18" t="s">
        <v>24</v>
      </c>
      <c r="F23" s="18" t="s">
        <v>25</v>
      </c>
      <c r="G23" s="18" t="s">
        <v>26</v>
      </c>
      <c r="H23" s="19" t="n">
        <f aca="false">IF(C23="Martin Aguero",0,2*30/35)</f>
        <v>1.71428571428571</v>
      </c>
    </row>
    <row r="24" customFormat="false" ht="30" hidden="false" customHeight="true" outlineLevel="0" collapsed="false">
      <c r="C24" s="17" t="s">
        <v>32</v>
      </c>
      <c r="D24" s="18" t="s">
        <v>33</v>
      </c>
      <c r="E24" s="18" t="s">
        <v>34</v>
      </c>
      <c r="F24" s="18" t="s">
        <v>34</v>
      </c>
      <c r="G24" s="18" t="s">
        <v>29</v>
      </c>
      <c r="H24" s="19" t="n">
        <f aca="false">IF(C24="Martin Aguero",0,2*30/35)</f>
        <v>1.71428571428571</v>
      </c>
    </row>
    <row r="25" customFormat="false" ht="30" hidden="false" customHeight="true" outlineLevel="0" collapsed="false">
      <c r="C25" s="17" t="s">
        <v>35</v>
      </c>
      <c r="D25" s="18" t="s">
        <v>36</v>
      </c>
      <c r="E25" s="18" t="s">
        <v>37</v>
      </c>
      <c r="F25" s="18" t="s">
        <v>37</v>
      </c>
      <c r="G25" s="18" t="s">
        <v>26</v>
      </c>
      <c r="H25" s="19" t="n">
        <f aca="false">IF(C25="Martin Aguero",0,2*30/35)</f>
        <v>1.71428571428571</v>
      </c>
    </row>
    <row r="26" customFormat="false" ht="30" hidden="false" customHeight="true" outlineLevel="0" collapsed="false">
      <c r="C26" s="17" t="s">
        <v>38</v>
      </c>
      <c r="D26" s="18" t="s">
        <v>39</v>
      </c>
      <c r="E26" s="18" t="s">
        <v>34</v>
      </c>
      <c r="F26" s="18" t="s">
        <v>34</v>
      </c>
      <c r="G26" s="18" t="s">
        <v>26</v>
      </c>
      <c r="H26" s="19" t="n">
        <f aca="false">IF(C26="Martin Aguero",0,2*30/35)</f>
        <v>1.71428571428571</v>
      </c>
    </row>
    <row r="27" customFormat="false" ht="30" hidden="false" customHeight="true" outlineLevel="0" collapsed="false">
      <c r="C27" s="17" t="s">
        <v>40</v>
      </c>
      <c r="D27" s="18" t="s">
        <v>41</v>
      </c>
      <c r="E27" s="18" t="s">
        <v>37</v>
      </c>
      <c r="F27" s="18" t="s">
        <v>37</v>
      </c>
      <c r="G27" s="18" t="s">
        <v>26</v>
      </c>
      <c r="H27" s="19" t="n">
        <f aca="false">IF(C27="Martin Aguero",0,2*30/35)</f>
        <v>1.71428571428571</v>
      </c>
    </row>
    <row r="28" customFormat="false" ht="30" hidden="false" customHeight="true" outlineLevel="0" collapsed="false">
      <c r="C28" s="17" t="s">
        <v>42</v>
      </c>
      <c r="D28" s="18" t="s">
        <v>43</v>
      </c>
      <c r="E28" s="18" t="s">
        <v>44</v>
      </c>
      <c r="F28" s="18" t="s">
        <v>44</v>
      </c>
      <c r="G28" s="18" t="s">
        <v>26</v>
      </c>
      <c r="H28" s="19" t="n">
        <f aca="false">IF(C28="Martin Aguero",0,2*30/35)</f>
        <v>1.71428571428571</v>
      </c>
    </row>
    <row r="29" customFormat="false" ht="30" hidden="false" customHeight="true" outlineLevel="0" collapsed="false">
      <c r="C29" s="17" t="s">
        <v>45</v>
      </c>
      <c r="D29" s="18" t="s">
        <v>46</v>
      </c>
      <c r="E29" s="18" t="s">
        <v>47</v>
      </c>
      <c r="F29" s="18" t="s">
        <v>37</v>
      </c>
      <c r="G29" s="18" t="s">
        <v>29</v>
      </c>
      <c r="H29" s="19" t="n">
        <f aca="false">IF(C29="Martin Aguero",0,2*30/35)</f>
        <v>0</v>
      </c>
    </row>
    <row r="30" customFormat="false" ht="15" hidden="false" customHeight="false" outlineLevel="0" collapsed="false">
      <c r="C30" s="20" t="s">
        <v>48</v>
      </c>
      <c r="D30" s="20"/>
      <c r="E30" s="20"/>
      <c r="F30" s="20"/>
      <c r="G30" s="20"/>
      <c r="H30" s="21" t="n">
        <f aca="false">SUM(H21:H29)</f>
        <v>13.7142857142857</v>
      </c>
    </row>
    <row r="34" customFormat="false" ht="24" hidden="false" customHeight="true" outlineLevel="0" collapsed="false">
      <c r="C34" s="5" t="s">
        <v>49</v>
      </c>
      <c r="D34" s="5"/>
      <c r="E34" s="5"/>
      <c r="F34" s="5"/>
      <c r="G34" s="5"/>
      <c r="H34" s="5"/>
      <c r="I34" s="5"/>
      <c r="J34" s="5"/>
    </row>
    <row r="36" customFormat="false" ht="37.5" hidden="false" customHeight="true" outlineLevel="0" collapsed="false">
      <c r="C36" s="6" t="s">
        <v>16</v>
      </c>
      <c r="D36" s="7" t="s">
        <v>50</v>
      </c>
      <c r="E36" s="7" t="s">
        <v>51</v>
      </c>
      <c r="F36" s="7" t="s">
        <v>52</v>
      </c>
      <c r="G36" s="8" t="s">
        <v>53</v>
      </c>
      <c r="H36" s="7" t="s">
        <v>54</v>
      </c>
      <c r="I36" s="7" t="s">
        <v>55</v>
      </c>
      <c r="J36" s="9" t="s">
        <v>56</v>
      </c>
    </row>
    <row r="37" customFormat="false" ht="27.75" hidden="false" customHeight="true" outlineLevel="0" collapsed="false">
      <c r="C37" s="22" t="str">
        <f aca="false">C21</f>
        <v>Juan Conde</v>
      </c>
      <c r="D37" s="23" t="n">
        <v>216000</v>
      </c>
      <c r="E37" s="13" t="n">
        <f aca="false">IF(E21="Repatriate",1.5*D37/12,0)</f>
        <v>27000</v>
      </c>
      <c r="F37" s="13" t="n">
        <f aca="false">IF(C37="Alan McKeon",2000,0)</f>
        <v>0</v>
      </c>
      <c r="G37" s="12" t="n">
        <f aca="false">D37/12</f>
        <v>18000</v>
      </c>
      <c r="H37" s="13" t="n">
        <f aca="false">G37+E37+F37</f>
        <v>45000</v>
      </c>
      <c r="I37" s="13" t="n">
        <f aca="false">G37+F37</f>
        <v>18000</v>
      </c>
      <c r="J37" s="24" t="n">
        <f aca="false">6*G37+H37+5*I37</f>
        <v>243000</v>
      </c>
    </row>
    <row r="38" customFormat="false" ht="27.75" hidden="false" customHeight="true" outlineLevel="0" collapsed="false">
      <c r="C38" s="22" t="str">
        <f aca="false">C22</f>
        <v>Alexander Stulme</v>
      </c>
      <c r="D38" s="25" t="n">
        <v>180000</v>
      </c>
      <c r="E38" s="13" t="n">
        <f aca="false">IF(E22="Repatriate",1.5*D38/12,0)</f>
        <v>22500</v>
      </c>
      <c r="F38" s="13" t="n">
        <f aca="false">IF(C38="Alan McKeon",2000,0)</f>
        <v>0</v>
      </c>
      <c r="G38" s="13" t="n">
        <f aca="false">D38/12</f>
        <v>15000</v>
      </c>
      <c r="H38" s="13" t="n">
        <f aca="false">G38+E38+F38</f>
        <v>37500</v>
      </c>
      <c r="I38" s="13" t="n">
        <f aca="false">G38+F38</f>
        <v>15000</v>
      </c>
      <c r="J38" s="14" t="n">
        <f aca="false">6*G38+H38+5*I38</f>
        <v>202500</v>
      </c>
    </row>
    <row r="39" customFormat="false" ht="27.75" hidden="false" customHeight="true" outlineLevel="0" collapsed="false">
      <c r="C39" s="22" t="str">
        <f aca="false">C23</f>
        <v>Félix Valderrama</v>
      </c>
      <c r="D39" s="25" t="n">
        <v>216000</v>
      </c>
      <c r="E39" s="13" t="n">
        <f aca="false">IF(E23="Repatriate",1.5*D39/12,0)</f>
        <v>27000</v>
      </c>
      <c r="F39" s="13" t="n">
        <f aca="false">IF(C39="Alan McKeon",2000,0)</f>
        <v>0</v>
      </c>
      <c r="G39" s="13" t="n">
        <f aca="false">D39/12</f>
        <v>18000</v>
      </c>
      <c r="H39" s="13" t="n">
        <f aca="false">G39+E39+F39</f>
        <v>45000</v>
      </c>
      <c r="I39" s="13" t="n">
        <f aca="false">G39+F39</f>
        <v>18000</v>
      </c>
      <c r="J39" s="14" t="n">
        <f aca="false">6*G39+H39+5*I39</f>
        <v>243000</v>
      </c>
    </row>
    <row r="40" customFormat="false" ht="27.75" hidden="false" customHeight="true" outlineLevel="0" collapsed="false">
      <c r="C40" s="22" t="str">
        <f aca="false">C24</f>
        <v>Alan McKeon</v>
      </c>
      <c r="D40" s="25" t="n">
        <v>180000</v>
      </c>
      <c r="E40" s="13" t="n">
        <f aca="false">IF(E24="Repatriate",1.5*D40/12,0)</f>
        <v>0</v>
      </c>
      <c r="F40" s="13" t="n">
        <f aca="false">IF(C40="Alan McKeon",2000,0)</f>
        <v>2000</v>
      </c>
      <c r="G40" s="13" t="n">
        <f aca="false">D40/12</f>
        <v>15000</v>
      </c>
      <c r="H40" s="13" t="n">
        <f aca="false">G40+E40+F40</f>
        <v>17000</v>
      </c>
      <c r="I40" s="13" t="n">
        <f aca="false">G40+F40</f>
        <v>17000</v>
      </c>
      <c r="J40" s="14" t="n">
        <f aca="false">6*G40+H40+5*I40</f>
        <v>192000</v>
      </c>
    </row>
    <row r="41" customFormat="false" ht="27.75" hidden="false" customHeight="true" outlineLevel="0" collapsed="false">
      <c r="C41" s="22" t="str">
        <f aca="false">C25</f>
        <v>JJI</v>
      </c>
      <c r="D41" s="25" t="n">
        <v>120000</v>
      </c>
      <c r="E41" s="13" t="n">
        <f aca="false">IF(E25="Repatriate",1.5*D41/12,0)</f>
        <v>0</v>
      </c>
      <c r="F41" s="13" t="n">
        <f aca="false">IF(C41="Alan McKeon",2000,0)</f>
        <v>0</v>
      </c>
      <c r="G41" s="13" t="n">
        <f aca="false">D41/12</f>
        <v>10000</v>
      </c>
      <c r="H41" s="13" t="n">
        <f aca="false">G41+E41+F41</f>
        <v>10000</v>
      </c>
      <c r="I41" s="13" t="n">
        <f aca="false">G41+F41</f>
        <v>10000</v>
      </c>
      <c r="J41" s="14" t="n">
        <f aca="false">6*G41+H41+5*I41</f>
        <v>120000</v>
      </c>
    </row>
    <row r="42" customFormat="false" ht="27.75" hidden="false" customHeight="true" outlineLevel="0" collapsed="false">
      <c r="C42" s="22" t="str">
        <f aca="false">C26</f>
        <v>Marcelo Dantas</v>
      </c>
      <c r="D42" s="25" t="n">
        <v>180000</v>
      </c>
      <c r="E42" s="13" t="n">
        <f aca="false">IF(E26="Repatriate",1.5*D42/12,0)</f>
        <v>0</v>
      </c>
      <c r="F42" s="13" t="n">
        <f aca="false">IF(C42="Alan McKeon",2000,0)</f>
        <v>0</v>
      </c>
      <c r="G42" s="13" t="n">
        <f aca="false">D42/12</f>
        <v>15000</v>
      </c>
      <c r="H42" s="13" t="n">
        <f aca="false">G42+E42+F42</f>
        <v>15000</v>
      </c>
      <c r="I42" s="13" t="n">
        <f aca="false">G42+F42</f>
        <v>15000</v>
      </c>
      <c r="J42" s="14" t="n">
        <f aca="false">6*G42+H42+5*I42</f>
        <v>180000</v>
      </c>
    </row>
    <row r="43" customFormat="false" ht="27.75" hidden="false" customHeight="true" outlineLevel="0" collapsed="false">
      <c r="C43" s="22" t="str">
        <f aca="false">C27</f>
        <v>Jose Miguel</v>
      </c>
      <c r="D43" s="25" t="n">
        <v>48000</v>
      </c>
      <c r="E43" s="13" t="n">
        <f aca="false">IF(E27="Repatriate",1.5*D43/12,0)</f>
        <v>0</v>
      </c>
      <c r="F43" s="13" t="n">
        <f aca="false">IF(C43="Alan McKeon",2000,0)</f>
        <v>0</v>
      </c>
      <c r="G43" s="13" t="n">
        <f aca="false">D43/12</f>
        <v>4000</v>
      </c>
      <c r="H43" s="13" t="n">
        <f aca="false">G43+E43+F43</f>
        <v>4000</v>
      </c>
      <c r="I43" s="13" t="n">
        <f aca="false">G43+F43</f>
        <v>4000</v>
      </c>
      <c r="J43" s="14" t="n">
        <f aca="false">6*G43+H43+5*I43</f>
        <v>48000</v>
      </c>
    </row>
    <row r="44" customFormat="false" ht="27.75" hidden="false" customHeight="true" outlineLevel="0" collapsed="false">
      <c r="C44" s="22" t="str">
        <f aca="false">C28</f>
        <v>TBD — Person to be defined</v>
      </c>
      <c r="D44" s="25" t="n">
        <v>48000</v>
      </c>
      <c r="E44" s="13" t="n">
        <f aca="false">IF(E28="Repatriate",1.5*D44/12,0)</f>
        <v>0</v>
      </c>
      <c r="F44" s="13" t="n">
        <f aca="false">IF(C44="Alan McKeon",2000,0)</f>
        <v>0</v>
      </c>
      <c r="G44" s="13" t="n">
        <f aca="false">D44/12</f>
        <v>4000</v>
      </c>
      <c r="H44" s="13" t="n">
        <f aca="false">G44+E44+F44</f>
        <v>4000</v>
      </c>
      <c r="I44" s="13" t="n">
        <f aca="false">G44+F44</f>
        <v>4000</v>
      </c>
      <c r="J44" s="14" t="n">
        <f aca="false">6*G44+H44+5*I44</f>
        <v>48000</v>
      </c>
    </row>
    <row r="45" customFormat="false" ht="27.75" hidden="false" customHeight="true" outlineLevel="0" collapsed="false">
      <c r="C45" s="22" t="str">
        <f aca="false">C29</f>
        <v>Martin Aguero</v>
      </c>
      <c r="D45" s="25" t="n">
        <v>180000</v>
      </c>
      <c r="E45" s="13" t="n">
        <f aca="false">IF(E29="Repatriate",1.5*D45/12,0)</f>
        <v>0</v>
      </c>
      <c r="F45" s="13" t="n">
        <f aca="false">IF(C45="Alan McKeon",2000,0)</f>
        <v>0</v>
      </c>
      <c r="G45" s="13" t="n">
        <f aca="false">D45/12</f>
        <v>15000</v>
      </c>
      <c r="H45" s="13" t="n">
        <f aca="false">G45+E45+F45</f>
        <v>15000</v>
      </c>
      <c r="I45" s="13" t="n">
        <f aca="false">G45+F45</f>
        <v>15000</v>
      </c>
      <c r="J45" s="14" t="n">
        <f aca="false">6*G45+H45+5*I45</f>
        <v>180000</v>
      </c>
    </row>
    <row r="46" customFormat="false" ht="15" hidden="false" customHeight="false" outlineLevel="0" collapsed="false">
      <c r="C46" s="20" t="s">
        <v>57</v>
      </c>
      <c r="D46" s="26" t="n">
        <f aca="false">SUM(D37:D45)</f>
        <v>1368000</v>
      </c>
      <c r="E46" s="27" t="n">
        <f aca="false">SUM(E37:E45)</f>
        <v>76500</v>
      </c>
      <c r="F46" s="27" t="n">
        <f aca="false">SUM(F37:F45)</f>
        <v>2000</v>
      </c>
      <c r="G46" s="27" t="n">
        <f aca="false">SUM(G37:G45)</f>
        <v>114000</v>
      </c>
      <c r="H46" s="27" t="n">
        <f aca="false">SUM(H37:H45)</f>
        <v>192500</v>
      </c>
      <c r="I46" s="27" t="n">
        <f aca="false">SUM(I37:I45)</f>
        <v>116000</v>
      </c>
      <c r="J46" s="28" t="n">
        <f aca="false">SUM(J37:J45)</f>
        <v>1456500</v>
      </c>
    </row>
    <row r="50" customFormat="false" ht="24" hidden="false" customHeight="true" outlineLevel="0" collapsed="false">
      <c r="C50" s="5" t="s">
        <v>58</v>
      </c>
      <c r="D50" s="5"/>
      <c r="E50" s="5"/>
      <c r="F50" s="5"/>
      <c r="G50" s="5"/>
      <c r="H50" s="5"/>
      <c r="I50" s="5"/>
      <c r="J50" s="5"/>
    </row>
    <row r="51" customFormat="false" ht="57.75" hidden="false" customHeight="true" outlineLevel="0" collapsed="false">
      <c r="C51" s="29" t="s">
        <v>59</v>
      </c>
      <c r="D51" s="29"/>
      <c r="E51" s="29"/>
      <c r="F51" s="29"/>
      <c r="G51" s="29"/>
      <c r="H51" s="29"/>
      <c r="I51" s="29"/>
      <c r="J51" s="29"/>
    </row>
    <row r="52" customFormat="false" ht="15" hidden="false" customHeight="false" outlineLevel="0" collapsed="false">
      <c r="C52" s="29"/>
      <c r="D52" s="29"/>
      <c r="E52" s="29"/>
      <c r="F52" s="29"/>
      <c r="G52" s="29"/>
      <c r="H52" s="29"/>
      <c r="I52" s="29"/>
      <c r="J52" s="29"/>
    </row>
    <row r="53" customFormat="false" ht="15" hidden="false" customHeight="false" outlineLevel="0" collapsed="false">
      <c r="C53" s="29"/>
      <c r="D53" s="29"/>
      <c r="E53" s="29"/>
      <c r="F53" s="29"/>
      <c r="G53" s="29"/>
      <c r="H53" s="29"/>
      <c r="I53" s="29"/>
      <c r="J53" s="29"/>
    </row>
    <row r="54" customFormat="false" ht="15" hidden="false" customHeight="false" outlineLevel="0" collapsed="false">
      <c r="C54" s="29"/>
      <c r="D54" s="29"/>
      <c r="E54" s="29"/>
      <c r="F54" s="29"/>
      <c r="G54" s="29"/>
      <c r="H54" s="29"/>
      <c r="I54" s="29"/>
      <c r="J54" s="29"/>
    </row>
  </sheetData>
  <mergeCells count="12">
    <mergeCell ref="C3:N3"/>
    <mergeCell ref="C5:N5"/>
    <mergeCell ref="C6:N6"/>
    <mergeCell ref="C8:N9"/>
    <mergeCell ref="C11:G11"/>
    <mergeCell ref="J11:N11"/>
    <mergeCell ref="J12:N15"/>
    <mergeCell ref="C18:H18"/>
    <mergeCell ref="C30:G30"/>
    <mergeCell ref="C34:J34"/>
    <mergeCell ref="C50:J50"/>
    <mergeCell ref="C51:J54"/>
  </mergeCells>
  <conditionalFormatting sqref="J37:J45">
    <cfRule type="dataBar" priority="2">
      <dataBar showValue="1" minLength="10" maxLength="90">
        <cfvo type="min" val="0"/>
        <cfvo type="max" val="0"/>
        <color rgb="FF135B44"/>
      </dataBar>
      <extLst>
        <ext xmlns:x14="http://schemas.microsoft.com/office/spreadsheetml/2009/9/main" uri="{B025F937-C7B1-47D3-B67F-A62EFF666E3E}">
          <x14:id>{789D867A-306E-40BC-8B6F-80625746F926}</x14:id>
        </ext>
      </extLst>
    </cfRule>
  </conditionalFormatting>
  <printOptions headings="false" gridLines="false" gridLinesSet="true" horizontalCentered="false" verticalCentered="false"/>
  <pageMargins left="0.2" right="0.2" top="0.25" bottom="0.25" header="0.511811023622047" footer="0.5"/>
  <pageSetup paperSize="3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Manpower Cost Summary | Page &amp;P of &amp;N</oddFooter>
  </headerFooter>
  <rowBreaks count="1" manualBreakCount="1">
    <brk id="33" man="true" max="16383" min="0"/>
  </rowBreaks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89D867A-306E-40BC-8B6F-80625746F926}">
            <x14:dataBar minLength="10" maxLength="90" axisPosition="none" gradient="true">
              <x14:cfvo type="min"/>
              <x14:cfvo type="max"/>
              <x14:negativeFillColor rgb="FF135B44"/>
              <x14:axisColor rgb="FF000000"/>
            </x14:dataBar>
          </x14:cfRule>
          <xm:sqref>J37:J45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2026-09-08T20:02:27Z</dcterms:created>
  <dc:creator>openpyxl</dc:creator>
  <dc:description/>
  <dc:language>en-US</dc:language>
  <cp:lastModifiedBy/>
  <dcterms:modified xsi:type="dcterms:W3CDTF">2026-09-08T20:02:27Z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