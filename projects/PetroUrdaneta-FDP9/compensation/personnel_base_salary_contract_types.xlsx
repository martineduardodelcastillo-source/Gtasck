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Personnel" sheetId="1" state="visible" r:id="rId3"/>
    <sheet name="Repatriation Package" sheetId="2" state="visible" r:id="rId4"/>
    <sheet name="Contract Rules" sheetId="3" state="visible" r:id="rId5"/>
  </sheets>
  <definedNames>
    <definedName function="false" hidden="false" localSheetId="2" name="_xlnm.Print_Area" vbProcedure="false">'Contract Rules'!$B$2:$M$23</definedName>
    <definedName function="false" hidden="false" localSheetId="0" name="_xlnm.Print_Area" vbProcedure="false">Personnel!$B$2:$Y$30</definedName>
    <definedName function="false" hidden="false" localSheetId="1" name="_xlnm.Print_Area" vbProcedure="false">'Repatriation Package'!$B$2:$J$38</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9"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0"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1"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2"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3"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4"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5"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6"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9"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0"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1"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2"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3"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4"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5"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6"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9"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0"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1"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2"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3"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4"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5"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6" authorId="0">
      <text>
        <r>
          <rPr>
            <sz val="10"/>
            <rFont val="Arial"/>
            <family val="2"/>
          </rPr>
          <t xml:space="preserve">Source: management instructions in this task through 7 September 2026. Leticia Almeida has been removed. Operations Support is an open position and the person is to be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9"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0"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1"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2"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3"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4"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5"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6"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9"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0"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1"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2"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3"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4"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5"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6"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9" authorId="0">
      <text>
        <r>
          <rPr>
            <sz val="10"/>
            <rFont val="Arial"/>
            <family val="2"/>
          </rPr>
          <t xml:space="preserve">Source: management instructions in this task through 7 September 2026. For Repatriates: a single one-time M7 localisation / repatriation package. The core package is currently set at 1.50 months of monthly base salary, with components and caps on the Repatriation Package tab. It does not recur and is excluded from M1–M12 base salary.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14</xdr:rowOff>
              </xdr:to>
            </anchor>
          </commentPr>
        </mc:Choice>
        <mc:Fallback/>
      </mc:AlternateContent>
    </comment>
    <comment ref="J10" authorId="0">
      <text>
        <r>
          <rPr>
            <sz val="10"/>
            <rFont val="Arial"/>
            <family val="2"/>
          </rPr>
          <t xml:space="preserve">Source: management instructions in this task through 7 September 2026. For Repatriates: a single one-time M7 localisation / repatriation package. The core package is currently set at 1.50 months of monthly base salary, with components and caps on the Repatriation Package tab. It does not recur and is excluded from M1–M12 base salary.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14</xdr:rowOff>
              </xdr:to>
            </anchor>
          </commentPr>
        </mc:Choice>
        <mc:Fallback/>
      </mc:AlternateContent>
    </comment>
    <comment ref="J11" authorId="0">
      <text>
        <r>
          <rPr>
            <sz val="10"/>
            <rFont val="Arial"/>
            <family val="2"/>
          </rPr>
          <t xml:space="preserve">Source: management instructions in this task through 7 September 2026. For Repatriates: a single one-time M7 localisation / repatriation package. The core package is currently set at 1.50 months of monthly base salary, with components and caps on the Repatriation Package tab. It does not recur and is excluded from M1–M12 base salary.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14</xdr:rowOff>
              </xdr:to>
            </anchor>
          </commentPr>
        </mc:Choice>
        <mc:Fallback/>
      </mc:AlternateContent>
    </comment>
    <comment ref="J12" authorId="0">
      <text>
        <r>
          <rPr>
            <sz val="10"/>
            <rFont val="Arial"/>
            <family val="2"/>
          </rPr>
          <t xml:space="preserve">Source: management instructions in this task through 7 September 2026. For Repatriates: a single one-time M7 localisation / repatriation package. The core package is currently set at 1.50 months of monthly base salary, with components and caps on the Repatriation Package tab. It does not recur and is excluded from M1–M12 base salary.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14</xdr:rowOff>
              </xdr:to>
            </anchor>
          </commentPr>
        </mc:Choice>
        <mc:Fallback/>
      </mc:AlternateContent>
    </comment>
    <comment ref="J13" authorId="0">
      <text>
        <r>
          <rPr>
            <sz val="10"/>
            <rFont val="Arial"/>
            <family val="2"/>
          </rPr>
          <t xml:space="preserve">Source: management instructions in this task through 7 September 2026. For Repatriates: a single one-time M7 localisation / repatriation package. The core package is currently set at 1.50 months of monthly base salary, with components and caps on the Repatriation Package tab. It does not recur and is excluded from M1–M12 base salary.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14</xdr:rowOff>
              </xdr:to>
            </anchor>
          </commentPr>
        </mc:Choice>
        <mc:Fallback/>
      </mc:AlternateContent>
    </comment>
    <comment ref="J14" authorId="0">
      <text>
        <r>
          <rPr>
            <sz val="10"/>
            <rFont val="Arial"/>
            <family val="2"/>
          </rPr>
          <t xml:space="preserve">Source: management instructions in this task through 7 September 2026. For Repatriates: a single one-time M7 localisation / repatriation package. The core package is currently set at 1.50 months of monthly base salary, with components and caps on the Repatriation Package tab. It does not recur and is excluded from M1–M12 base salary.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14</xdr:rowOff>
              </xdr:to>
            </anchor>
          </commentPr>
        </mc:Choice>
        <mc:Fallback/>
      </mc:AlternateContent>
    </comment>
    <comment ref="J15" authorId="0">
      <text>
        <r>
          <rPr>
            <sz val="10"/>
            <rFont val="Arial"/>
            <family val="2"/>
          </rPr>
          <t xml:space="preserve">Source: management instructions in this task through 7 September 2026. For Repatriates: a single one-time M7 localisation / repatriation package. The core package is currently set at 1.50 months of monthly base salary, with components and caps on the Repatriation Package tab. It does not recur and is excluded from M1–M12 base salary.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14</xdr:rowOff>
              </xdr:to>
            </anchor>
          </commentPr>
        </mc:Choice>
        <mc:Fallback/>
      </mc:AlternateContent>
    </comment>
    <comment ref="J16" authorId="0">
      <text>
        <r>
          <rPr>
            <sz val="10"/>
            <rFont val="Arial"/>
            <family val="2"/>
          </rPr>
          <t xml:space="preserve">Source: management instructions in this task through 7 September 2026. For Repatriates: a single one-time M7 localisation / repatriation package. The core package is currently set at 1.50 months of monthly base salary, with components and caps on the Repatriation Package tab. It does not recur and is excluded from M1–M12 base salary.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14</xdr:rowOff>
              </xdr:to>
            </anchor>
          </commentPr>
        </mc:Choice>
        <mc:Fallback/>
      </mc:AlternateContent>
    </comment>
    <comment ref="K9"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0"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1"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2"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3"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4"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5"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6"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L9" authorId="0">
      <text>
        <r>
          <rPr>
            <sz val="10"/>
            <rFont val="Arial"/>
            <family val="2"/>
          </rPr>
          <t xml:space="preserve">Source: management instructions in this task through 7 September 2026. Repatriate; transitions to Local — Venezuela from M7 after the one-time transition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0" authorId="0">
      <text>
        <r>
          <rPr>
            <sz val="10"/>
            <rFont val="Arial"/>
            <family val="2"/>
          </rPr>
          <t xml:space="preserve">Source: management instructions in this task through 7 September 2026. Repatriate; initially appointed General Manager of PU on secondment; transitions to Local — Venezuela from M7 after the one-time transition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L11" authorId="0">
      <text>
        <r>
          <rPr>
            <sz val="10"/>
            <rFont val="Arial"/>
            <family val="2"/>
          </rPr>
          <t xml:space="preserve">Source: management instructions in this task through 7 September 2026. Repatriate; transitions to Local — Venezuela from M7 after the one-time transition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2" authorId="0">
      <text>
        <r>
          <rPr>
            <sz val="10"/>
            <rFont val="Arial"/>
            <family val="2"/>
          </rPr>
          <t xml:space="preserve">Source: management instructions in this task through 7 September 2026. Expat; initially appointed Technical Manager of PU on secondment.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L13" authorId="0">
      <text>
        <r>
          <rPr>
            <sz val="10"/>
            <rFont val="Arial"/>
            <family val="2"/>
          </rPr>
          <t xml:space="preserve">Source: management instructions in this task through 7 September 2026. Remote role. Local / Fixed is an editable assumption pending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L14" authorId="0">
      <text>
        <r>
          <rPr>
            <sz val="10"/>
            <rFont val="Arial"/>
            <family val="2"/>
          </rPr>
          <t xml:space="preserve">Source: management instructions in this task through 7 September 2026. Rotation confirmed from prior instructions; Expat contract is an editable assumption.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5" authorId="0">
      <text>
        <r>
          <rPr>
            <sz val="10"/>
            <rFont val="Arial"/>
            <family val="2"/>
          </rPr>
          <t xml:space="preserve">Source: management instructions in this task through 7 September 2026. Local in Maracaibo or staff house; no cash housing allowance by default.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6" authorId="0">
      <text>
        <r>
          <rPr>
            <sz val="10"/>
            <rFont val="Arial"/>
            <family val="2"/>
          </rPr>
          <t xml:space="preserve">Source: management instructions in this task through 7 September 2026. Open position. Person, contract type, work arrangement and benefits are to be defined. Salary remains a budget placeholder from the source table.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Y9"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0"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1"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2"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3"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4"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5"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6"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List>
</comments>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0" authorId="0">
      <text>
        <r>
          <rPr>
            <sz val="10"/>
            <rFont val="Arial"/>
            <family val="2"/>
          </rPr>
          <t xml:space="preserve">Source: management instructions in this task through 7 September 2026. Core transition package component: Moving &amp; household-goods support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C11" authorId="0">
      <text>
        <r>
          <rPr>
            <sz val="10"/>
            <rFont val="Arial"/>
            <family val="2"/>
          </rPr>
          <t xml:space="preserve">Source: management instructions in this task through 7 September 2026. Core transition package component: Settling-in &amp; incidental expenses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C12" authorId="0">
      <text>
        <r>
          <rPr>
            <sz val="10"/>
            <rFont val="Arial"/>
            <family val="2"/>
          </rPr>
          <t xml:space="preserve">Source: management instructions in this task through 7 September 2026. Core transition package component: Temporary lodging &amp; local setup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C13" authorId="0">
      <text>
        <r>
          <rPr>
            <sz val="10"/>
            <rFont val="Arial"/>
            <family val="2"/>
          </rPr>
          <t xml:space="preserve">Source: management instructions in this task through 7 September 2026. Core transition package component: Local transport &amp; first-mile setup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C14" authorId="0">
      <text>
        <r>
          <rPr>
            <sz val="10"/>
            <rFont val="Arial"/>
            <family val="2"/>
          </rPr>
          <t xml:space="preserve">Source: management instructions in this task through 7 September 2026. Core transition package component: Documentation, payroll &amp; tax onboarding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20" authorId="0">
      <text>
        <r>
          <rPr>
            <sz val="10"/>
            <rFont val="Arial"/>
            <family val="2"/>
          </rPr>
          <t xml:space="preserve">Source: management instructions in this task through 7 September 2026. Excluded from one-time package: Base salary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21" authorId="0">
      <text>
        <r>
          <rPr>
            <sz val="10"/>
            <rFont val="Arial"/>
            <family val="2"/>
          </rPr>
          <t xml:space="preserve">Source: management instructions in this task through 7 September 2026. Excluded from one-time package: Medical insurance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22" authorId="0">
      <text>
        <r>
          <rPr>
            <sz val="10"/>
            <rFont val="Arial"/>
            <family val="2"/>
          </rPr>
          <t xml:space="preserve">Source: management instructions in this task through 7 September 2026. Excluded from one-time package: Housing / staff house / hotel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C23" authorId="0">
      <text>
        <r>
          <rPr>
            <sz val="10"/>
            <rFont val="Arial"/>
            <family val="2"/>
          </rPr>
          <t xml:space="preserve">Source: management instructions in this task through 7 September 2026. Excluded from one-time package: Company transport to work</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C24" authorId="0">
      <text>
        <r>
          <rPr>
            <sz val="10"/>
            <rFont val="Arial"/>
            <family val="2"/>
          </rPr>
          <t xml:space="preserve">Source: management instructions in this task through 7 September 2026. Excluded from one-time package: Home leave, stock options, annual incentive and vacation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25" authorId="0">
      <text>
        <r>
          <rPr>
            <sz val="10"/>
            <rFont val="Arial"/>
            <family val="2"/>
          </rPr>
          <t xml:space="preserve">Source: management instructions in this task through 7 September 2026. Excluded from one-time package: Venezuelan statutory payroll benefits and taxes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30" authorId="0">
      <text>
        <r>
          <rPr>
            <sz val="10"/>
            <rFont val="Arial"/>
            <family val="2"/>
          </rPr>
          <t xml:space="preserve">Source: management instructions in this task through 7 September 2026. Eligible Repatriate identified from Personnel; package is paid once at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31" authorId="0">
      <text>
        <r>
          <rPr>
            <sz val="10"/>
            <rFont val="Arial"/>
            <family val="2"/>
          </rPr>
          <t xml:space="preserve">Source: management instructions in this task through 7 September 2026. Eligible Repatriate identified from Personnel; package is paid once at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32" authorId="0">
      <text>
        <r>
          <rPr>
            <sz val="10"/>
            <rFont val="Arial"/>
            <family val="2"/>
          </rPr>
          <t xml:space="preserve">Source: management instructions in this task through 7 September 2026. Eligible Repatriate identified from Personnel; package is paid once at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36"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package is a company policy item, not a determination of legal or tax treatment.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30</xdr:rowOff>
              </xdr:to>
            </anchor>
          </commentPr>
        </mc:Choice>
        <mc:Fallback/>
      </mc:AlternateContent>
    </comment>
    <comment ref="D10" authorId="0">
      <text>
        <r>
          <rPr>
            <sz val="10"/>
            <rFont val="Arial"/>
            <family val="2"/>
          </rPr>
          <t xml:space="preserve">Source: management instructions in this task through 7 September 2026. Editable planning multiplier expressed in months of the employee's monthly base salary.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D11" authorId="0">
      <text>
        <r>
          <rPr>
            <sz val="10"/>
            <rFont val="Arial"/>
            <family val="2"/>
          </rPr>
          <t xml:space="preserve">Source: management instructions in this task through 7 September 2026. Editable planning multiplier expressed in months of the employee's monthly base salary.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D12" authorId="0">
      <text>
        <r>
          <rPr>
            <sz val="10"/>
            <rFont val="Arial"/>
            <family val="2"/>
          </rPr>
          <t xml:space="preserve">Source: management instructions in this task through 7 September 2026. Editable planning multiplier expressed in months of the employee's monthly base salary.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D13" authorId="0">
      <text>
        <r>
          <rPr>
            <sz val="10"/>
            <rFont val="Arial"/>
            <family val="2"/>
          </rPr>
          <t xml:space="preserve">Source: management instructions in this task through 7 September 2026. Editable planning multiplier expressed in months of the employee's monthly base salary.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D14" authorId="0">
      <text>
        <r>
          <rPr>
            <sz val="10"/>
            <rFont val="Arial"/>
            <family val="2"/>
          </rPr>
          <t xml:space="preserve">Source: management instructions in this task through 7 September 2026. Editable planning multiplier expressed in months of the employee's monthly base salary.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D20" authorId="0">
      <text>
        <r>
          <rPr>
            <sz val="10"/>
            <rFont val="Arial"/>
            <family val="2"/>
          </rPr>
          <t xml:space="preserve">Source: management instructions in this task through 7 September 2026. Already reflected in M1–M12; not a transition cost.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21" authorId="0">
      <text>
        <r>
          <rPr>
            <sz val="10"/>
            <rFont val="Arial"/>
            <family val="2"/>
          </rPr>
          <t xml:space="preserve">Source: management instructions in this task through 7 September 2026. M1–M6 and M7+ benefit; not part of the one-time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22" authorId="0">
      <text>
        <r>
          <rPr>
            <sz val="10"/>
            <rFont val="Arial"/>
            <family val="2"/>
          </rPr>
          <t xml:space="preserve">Source: management instructions in this task through 7 September 2026. Approved separately by city and individual package; do not duplicate in the allowance.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D23" authorId="0">
      <text>
        <r>
          <rPr>
            <sz val="10"/>
            <rFont val="Arial"/>
            <family val="2"/>
          </rPr>
          <t xml:space="preserve">Source: management instructions in this task through 7 September 2026. Ongoing local benefit, where approved; not a transition payment.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24" authorId="0">
      <text>
        <r>
          <rPr>
            <sz val="10"/>
            <rFont val="Arial"/>
            <family val="2"/>
          </rPr>
          <t xml:space="preserve">Source: management instructions in this task through 7 September 2026. Only where separately approved; not included in the repatriation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25" authorId="0">
      <text>
        <r>
          <rPr>
            <sz val="10"/>
            <rFont val="Arial"/>
            <family val="2"/>
          </rPr>
          <t xml:space="preserve">Source: management instructions in this task through 7 September 2026. Apply according to local legal, tax and payroll review.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30"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31"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32"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0" authorId="0">
      <text>
        <r>
          <rPr>
            <sz val="10"/>
            <rFont val="Arial"/>
            <family val="2"/>
          </rPr>
          <t xml:space="preserve">Source: management instructions in this task through 7 September 2026. Paid or reimbursed once at localisation in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1" authorId="0">
      <text>
        <r>
          <rPr>
            <sz val="10"/>
            <rFont val="Arial"/>
            <family val="2"/>
          </rPr>
          <t xml:space="preserve">Source: management instructions in this task through 7 September 2026. Paid or reimbursed once at localisation in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2" authorId="0">
      <text>
        <r>
          <rPr>
            <sz val="10"/>
            <rFont val="Arial"/>
            <family val="2"/>
          </rPr>
          <t xml:space="preserve">Source: management instructions in this task through 7 September 2026. Paid or reimbursed once at localisation in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3" authorId="0">
      <text>
        <r>
          <rPr>
            <sz val="10"/>
            <rFont val="Arial"/>
            <family val="2"/>
          </rPr>
          <t xml:space="preserve">Source: management instructions in this task through 7 September 2026. Paid or reimbursed once at localisation in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4" authorId="0">
      <text>
        <r>
          <rPr>
            <sz val="10"/>
            <rFont val="Arial"/>
            <family val="2"/>
          </rPr>
          <t xml:space="preserve">Source: management instructions in this task through 7 September 2026. Paid or reimbursed once at localisation in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10" authorId="0">
      <text>
        <r>
          <rPr>
            <sz val="10"/>
            <rFont val="Arial"/>
            <family val="2"/>
          </rPr>
          <t xml:space="preserve">Source: management instructions in this task through 7 September 2026. Use direct payment or documented reimbursement where practical; do not duplicate other approved benefits.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1" authorId="0">
      <text>
        <r>
          <rPr>
            <sz val="10"/>
            <rFont val="Arial"/>
            <family val="2"/>
          </rPr>
          <t xml:space="preserve">Source: management instructions in this task through 7 September 2026. Use direct payment or documented reimbursement where practical; do not duplicate other approved benefits.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2" authorId="0">
      <text>
        <r>
          <rPr>
            <sz val="10"/>
            <rFont val="Arial"/>
            <family val="2"/>
          </rPr>
          <t xml:space="preserve">Source: management instructions in this task through 7 September 2026. Use direct payment or documented reimbursement where practical; do not duplicate other approved benefits.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3" authorId="0">
      <text>
        <r>
          <rPr>
            <sz val="10"/>
            <rFont val="Arial"/>
            <family val="2"/>
          </rPr>
          <t xml:space="preserve">Source: management instructions in this task through 7 September 2026. Use direct payment or documented reimbursement where practical; do not duplicate other approved benefits.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4" authorId="0">
      <text>
        <r>
          <rPr>
            <sz val="10"/>
            <rFont val="Arial"/>
            <family val="2"/>
          </rPr>
          <t xml:space="preserve">Source: management instructions in this task through 7 September 2026. Use direct payment or documented reimbursement where practical; do not duplicate other approved benefits.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G10" authorId="0">
      <text>
        <r>
          <rPr>
            <sz val="10"/>
            <rFont val="Arial"/>
            <family val="2"/>
          </rPr>
          <t xml:space="preserve">Source: management instructions in this task through 7 September 2026. Packing, shipment, excess baggage and local move-related costs.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G11" authorId="0">
      <text>
        <r>
          <rPr>
            <sz val="10"/>
            <rFont val="Arial"/>
            <family val="2"/>
          </rPr>
          <t xml:space="preserve">Source: management instructions in this task through 7 September 2026. Utilities, connection charges, phone / internet setup and small household items.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G12" authorId="0">
      <text>
        <r>
          <rPr>
            <sz val="10"/>
            <rFont val="Arial"/>
            <family val="2"/>
          </rPr>
          <t xml:space="preserve">Source: management instructions in this task through 7 September 2026. Initial hotel or staff-house transition and practical local setup.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G13" authorId="0">
      <text>
        <r>
          <rPr>
            <sz val="10"/>
            <rFont val="Arial"/>
            <family val="2"/>
          </rPr>
          <t xml:space="preserve">Source: management instructions in this task through 7 September 2026. Arrival transport, local mobility and initial work-access setup.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G14" authorId="0">
      <text>
        <r>
          <rPr>
            <sz val="10"/>
            <rFont val="Arial"/>
            <family val="2"/>
          </rPr>
          <t xml:space="preserve">Source: management instructions in this task through 7 September 2026. Local documentation, payroll onboarding and transition tax consultation.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H1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Confirm local payroll, tax and salary-character treatment before payment.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30</xdr:rowOff>
              </xdr:to>
            </anchor>
          </commentPr>
        </mc:Choice>
        <mc:Fallback/>
      </mc:AlternateContent>
    </comment>
    <comment ref="H11"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Confirm local payroll, tax and salary-character treatment before payment.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30</xdr:rowOff>
              </xdr:to>
            </anchor>
          </commentPr>
        </mc:Choice>
        <mc:Fallback/>
      </mc:AlternateContent>
    </comment>
    <comment ref="H12"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Confirm local payroll, tax and salary-character treatment before payment.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30</xdr:rowOff>
              </xdr:to>
            </anchor>
          </commentPr>
        </mc:Choice>
        <mc:Fallback/>
      </mc:AlternateContent>
    </comment>
    <comment ref="H13"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Confirm local payroll, tax and salary-character treatment before payment.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30</xdr:rowOff>
              </xdr:to>
            </anchor>
          </commentPr>
        </mc:Choice>
        <mc:Fallback/>
      </mc:AlternateContent>
    </comment>
    <comment ref="H14"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Confirm local payroll, tax and salary-character treatment before payment.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30</xdr:rowOff>
              </xdr:to>
            </anchor>
          </commentPr>
        </mc:Choice>
        <mc:Fallback/>
      </mc:AlternateContent>
    </comment>
    <comment ref="I30" authorId="0">
      <text>
        <r>
          <rPr>
            <sz val="10"/>
            <rFont val="Arial"/>
            <family val="2"/>
          </rPr>
          <t xml:space="preserve">Source: management instructions in this task through 7 September 2026. Amount, approval and payroll treatment remain subject to Venezuelan legal, tax and HR review.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31" authorId="0">
      <text>
        <r>
          <rPr>
            <sz val="10"/>
            <rFont val="Arial"/>
            <family val="2"/>
          </rPr>
          <t xml:space="preserve">Source: management instructions in this task through 7 September 2026. Amount, approval and payroll treatment remain subject to Venezuelan legal, tax and HR review.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32" authorId="0">
      <text>
        <r>
          <rPr>
            <sz val="10"/>
            <rFont val="Arial"/>
            <family val="2"/>
          </rPr>
          <t xml:space="preserve">Source: management instructions in this task through 7 September 2026. Amount, approval and payroll treatment remain subject to Venezuelan legal, tax and HR review.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J30" authorId="0">
      <text>
        <r>
          <rPr>
            <sz val="10"/>
            <rFont val="Arial"/>
            <family val="2"/>
          </rPr>
          <t xml:space="preserve">Source: management instructions in this task through 7 September 2026. No recurring payment. No housing, medical, statutory benefits or tax gross-up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J31" authorId="0">
      <text>
        <r>
          <rPr>
            <sz val="10"/>
            <rFont val="Arial"/>
            <family val="2"/>
          </rPr>
          <t xml:space="preserve">Source: management instructions in this task through 7 September 2026. No recurring payment. No housing, medical, statutory benefits or tax gross-up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J32" authorId="0">
      <text>
        <r>
          <rPr>
            <sz val="10"/>
            <rFont val="Arial"/>
            <family val="2"/>
          </rPr>
          <t xml:space="preserve">Source: management instructions in this task through 7 September 2026. No recurring payment. No housing, medical, statutory benefits or tax gross-up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9" authorId="0">
      <text>
        <r>
          <rPr>
            <sz val="10"/>
            <rFont val="Arial"/>
            <family val="2"/>
          </rPr>
          <t xml:space="preserve">Source: management instructions in this task through 7 September 2026. Default contract rule: Expat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C10" authorId="0">
      <text>
        <r>
          <rPr>
            <sz val="10"/>
            <rFont val="Arial"/>
            <family val="2"/>
          </rPr>
          <t xml:space="preserve">Source: management instructions in this task through 7 September 2026. Default contract rule: Repatriate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C11" authorId="0">
      <text>
        <r>
          <rPr>
            <sz val="10"/>
            <rFont val="Arial"/>
            <family val="2"/>
          </rPr>
          <t xml:space="preserve">Source: management instructions in this task through 7 September 2026. Default contract rule: Local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C12" authorId="0">
      <text>
        <r>
          <rPr>
            <sz val="10"/>
            <rFont val="Arial"/>
            <family val="2"/>
          </rPr>
          <t xml:space="preserve">Source: management instructions in this task through 7 September 2026. Default contract rule: TBD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C16" authorId="0">
      <text>
        <r>
          <rPr>
            <sz val="10"/>
            <rFont val="Arial"/>
            <family val="2"/>
          </rPr>
          <t xml:space="preserve">Source: management instructions in this task through 7 September 2026. Default work-arrangement rule: Fixed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7" authorId="0">
      <text>
        <r>
          <rPr>
            <sz val="10"/>
            <rFont val="Arial"/>
            <family val="2"/>
          </rPr>
          <t xml:space="preserve">Source: management instructions in this task through 7 September 2026. Default work-arrangement rule: Rotation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8" authorId="0">
      <text>
        <r>
          <rPr>
            <sz val="10"/>
            <rFont val="Arial"/>
            <family val="2"/>
          </rPr>
          <t xml:space="preserve">Source: management instructions in this task through 7 September 2026. Default work-arrangement rule: TBD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C2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Company policy transition does not replace a legal classification or payroll review.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65</xdr:rowOff>
              </xdr:to>
            </anchor>
          </commentPr>
        </mc:Choice>
        <mc:Fallback/>
      </mc:AlternateContent>
    </comment>
    <comment ref="D9" authorId="0">
      <text>
        <r>
          <rPr>
            <sz val="10"/>
            <rFont val="Arial"/>
            <family val="2"/>
          </rPr>
          <t xml:space="preserve">Source: management instructions in this task through 7 September 2026. Default contract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0" authorId="0">
      <text>
        <r>
          <rPr>
            <sz val="10"/>
            <rFont val="Arial"/>
            <family val="2"/>
          </rPr>
          <t xml:space="preserve">Source: management instructions in this task through 7 September 2026. Default contract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1" authorId="0">
      <text>
        <r>
          <rPr>
            <sz val="10"/>
            <rFont val="Arial"/>
            <family val="2"/>
          </rPr>
          <t xml:space="preserve">Source: management instructions in this task through 7 September 2026. Default contract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2" authorId="0">
      <text>
        <r>
          <rPr>
            <sz val="10"/>
            <rFont val="Arial"/>
            <family val="2"/>
          </rPr>
          <t xml:space="preserve">Source: management instructions in this task through 7 September 2026. Default contract rule: Not defined until person and contract are approved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16" authorId="0">
      <text>
        <r>
          <rPr>
            <sz val="10"/>
            <rFont val="Arial"/>
            <family val="2"/>
          </rPr>
          <t xml:space="preserve">Source: management instructions in this task through 7 September 2026. Default work-arrangement rule: Continuous assignment to the role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17" authorId="0">
      <text>
        <r>
          <rPr>
            <sz val="10"/>
            <rFont val="Arial"/>
            <family val="2"/>
          </rPr>
          <t xml:space="preserve">Source: management instructions in this task through 7 September 2026. Default work-arrangement rule: Roster-based presence in Venezuela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18" authorId="0">
      <text>
        <r>
          <rPr>
            <sz val="10"/>
            <rFont val="Arial"/>
            <family val="2"/>
          </rPr>
          <t xml:space="preserve">Source: management instructions in this task through 7 September 2026. Default work-arrangement rule: To be determined with the selected Operations Support employee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E9"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E1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E11"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E12"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E16" authorId="0">
      <text>
        <r>
          <rPr>
            <sz val="10"/>
            <rFont val="Arial"/>
            <family val="2"/>
          </rPr>
          <t xml:space="preserve">Source: management instructions in this task through 7 September 2026. Default work-arrangement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7" authorId="0">
      <text>
        <r>
          <rPr>
            <sz val="10"/>
            <rFont val="Arial"/>
            <family val="2"/>
          </rPr>
          <t xml:space="preserve">Source: management instructions in this task through 7 September 2026. Default work-arrangement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8" authorId="0">
      <text>
        <r>
          <rPr>
            <sz val="10"/>
            <rFont val="Arial"/>
            <family val="2"/>
          </rPr>
          <t xml:space="preserve">Source: management instructions in this task through 7 September 2026. Default work-arrangement rule: Not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9" authorId="0">
      <text>
        <r>
          <rPr>
            <sz val="10"/>
            <rFont val="Arial"/>
            <family val="2"/>
          </rPr>
          <t xml:space="preserve">Source: management instructions in this task through 7 September 2026. Default contract rule: Company-provided medical insurance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F10" authorId="0">
      <text>
        <r>
          <rPr>
            <sz val="10"/>
            <rFont val="Arial"/>
            <family val="2"/>
          </rPr>
          <t xml:space="preserve">Source: management instructions in this task through 7 September 2026. Default contract rule: Medical insurance according to approved local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F11" authorId="0">
      <text>
        <r>
          <rPr>
            <sz val="10"/>
            <rFont val="Arial"/>
            <family val="2"/>
          </rPr>
          <t xml:space="preserve">Source: management instructions in this task through 7 September 2026. Default contract rule: Medical insurance according to approved local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F12" authorId="0">
      <text>
        <r>
          <rPr>
            <sz val="10"/>
            <rFont val="Arial"/>
            <family val="2"/>
          </rPr>
          <t xml:space="preserve">Source: management instructions in this task through 7 September 2026. Default contract rule: Not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F16" authorId="0">
      <text>
        <r>
          <rPr>
            <sz val="10"/>
            <rFont val="Arial"/>
            <family val="2"/>
          </rPr>
          <t xml:space="preserve">Source: management instructions in this task through 7 September 2026. Default work-arrangement rule: Based on contract type, city and approved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F17" authorId="0">
      <text>
        <r>
          <rPr>
            <sz val="10"/>
            <rFont val="Arial"/>
            <family val="2"/>
          </rPr>
          <t xml:space="preserve">Source: management instructions in this task through 7 September 2026. Default work-arrangement rule: Hotel, staff house or rotational lodging; avoid duplicate permanent housing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8" authorId="0">
      <text>
        <r>
          <rPr>
            <sz val="10"/>
            <rFont val="Arial"/>
            <family val="2"/>
          </rPr>
          <t xml:space="preserve">Source: management instructions in this task through 7 September 2026. Default work-arrangement rule: Not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G9" authorId="0">
      <text>
        <r>
          <rPr>
            <sz val="10"/>
            <rFont val="Arial"/>
            <family val="2"/>
          </rPr>
          <t xml:space="preserve">Source: management instructions in this task through 7 September 2026. Default contract rule: Housing / allowance only under an approved individual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G10" authorId="0">
      <text>
        <r>
          <rPr>
            <sz val="10"/>
            <rFont val="Arial"/>
            <family val="2"/>
          </rPr>
          <t xml:space="preserve">Source: management instructions in this task through 7 September 2026. Default contract rule: City-based: local residence, staff house, hotel or allowance only if approved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G11" authorId="0">
      <text>
        <r>
          <rPr>
            <sz val="10"/>
            <rFont val="Arial"/>
            <family val="2"/>
          </rPr>
          <t xml:space="preserve">Source: management instructions in this task through 7 September 2026. Default contract rule: Local residence or staff house; no cash housing allowance by default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G12" authorId="0">
      <text>
        <r>
          <rPr>
            <sz val="10"/>
            <rFont val="Arial"/>
            <family val="2"/>
          </rPr>
          <t xml:space="preserve">Source: management instructions in this task through 7 September 2026. Default contract rule: Not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G16" authorId="0">
      <text>
        <r>
          <rPr>
            <sz val="10"/>
            <rFont val="Arial"/>
            <family val="2"/>
          </rPr>
          <t xml:space="preserve">Source: management instructions in this task through 7 September 2026. Default work-arrangement rule: According to contract type / local policy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G17" authorId="0">
      <text>
        <r>
          <rPr>
            <sz val="10"/>
            <rFont val="Arial"/>
            <family val="2"/>
          </rPr>
          <t xml:space="preserve">Source: management instructions in this task through 7 September 2026. Default work-arrangement rule: Rotation roster travel replaces or supplements home leave only if approved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8" authorId="0">
      <text>
        <r>
          <rPr>
            <sz val="10"/>
            <rFont val="Arial"/>
            <family val="2"/>
          </rPr>
          <t xml:space="preserve">Source: management instructions in this task through 7 September 2026. Default work-arrangement rule: Not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H9"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H1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H11"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H12"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H16" authorId="0">
      <text>
        <r>
          <rPr>
            <sz val="10"/>
            <rFont val="Arial"/>
            <family val="2"/>
          </rPr>
          <t xml:space="preserve">Source: management instructions in this task through 7 September 2026. Default work-arrangement rule: JJI is Fixed but Remote; Remote is noted separately.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H17" authorId="0">
      <text>
        <r>
          <rPr>
            <sz val="10"/>
            <rFont val="Arial"/>
            <family val="2"/>
          </rPr>
          <t xml:space="preserve">Source: management instructions in this task through 7 September 2026. Default work-arrangement rule: Marcelo Dantas is currently shown as Rotation.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H18" authorId="0">
      <text>
        <r>
          <rPr>
            <sz val="10"/>
            <rFont val="Arial"/>
            <family val="2"/>
          </rPr>
          <t xml:space="preserve">Source: management instructions in this task through 7 September 2026. Default work-arrangement rule: Operations Support is an open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I9"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I1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I11"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I12"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J9"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J1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J11"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J12"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K9" authorId="0">
      <text>
        <r>
          <rPr>
            <sz val="10"/>
            <rFont val="Arial"/>
            <family val="2"/>
          </rPr>
          <t xml:space="preserve">Source: management instructions in this task through 7 September 2026. Default contract rule: Provisional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K10" authorId="0">
      <text>
        <r>
          <rPr>
            <sz val="10"/>
            <rFont val="Arial"/>
            <family val="2"/>
          </rPr>
          <t xml:space="preserve">Source: management instructions in this task through 7 September 2026. Default contract rule: Confirmed policy direction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K11" authorId="0">
      <text>
        <r>
          <rPr>
            <sz val="10"/>
            <rFont val="Arial"/>
            <family val="2"/>
          </rPr>
          <t xml:space="preserve">Source: management instructions in this task through 7 September 2026. Default contract rule: Provisional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K12" authorId="0">
      <text>
        <r>
          <rPr>
            <sz val="10"/>
            <rFont val="Arial"/>
            <family val="2"/>
          </rPr>
          <t xml:space="preserve">Source: management instructions in this task through 7 September 2026. Default contract rule: Open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L9" authorId="0">
      <text>
        <r>
          <rPr>
            <sz val="10"/>
            <rFont val="Arial"/>
            <family val="2"/>
          </rPr>
          <t xml:space="preserve">Source: management instructions in this task through 7 September 2026. Default contract rule: No universal oil-and-gas benefit grid; package must reflect role, location and contract.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L10" authorId="0">
      <text>
        <r>
          <rPr>
            <sz val="10"/>
            <rFont val="Arial"/>
            <family val="2"/>
          </rPr>
          <t xml:space="preserve">Source: management instructions in this task through 7 September 2026. Default contract rule: One-time package covers moving, settling-in, temporary lodging, transport and onboarding support—not an annual incentive. Legal review determines salary and tax treatment.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21</xdr:rowOff>
              </xdr:to>
            </anchor>
          </commentPr>
        </mc:Choice>
        <mc:Fallback/>
      </mc:AlternateContent>
    </comment>
    <comment ref="L11" authorId="0">
      <text>
        <r>
          <rPr>
            <sz val="10"/>
            <rFont val="Arial"/>
            <family val="2"/>
          </rPr>
          <t xml:space="preserve">Source: management instructions in this task through 7 September 2026. Default contract rule: No international home leave or expat allowance by default.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L12" authorId="0">
      <text>
        <r>
          <rPr>
            <sz val="10"/>
            <rFont val="Arial"/>
            <family val="2"/>
          </rPr>
          <t xml:space="preserve">Source: management instructions in this task through 7 September 2026. Default contract rule: Operations Support headcount is budgeted, but the person, contract type and benefits remain to be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List>
</comments>
</file>

<file path=xl/sharedStrings.xml><?xml version="1.0" encoding="utf-8"?>
<sst xmlns="http://schemas.openxmlformats.org/spreadsheetml/2006/main" count="260" uniqueCount="183">
  <si>
    <t xml:space="preserve">Personnel — Monthly Base Salary and Contract Classification</t>
  </si>
  <si>
    <t xml:space="preserve">COO / PU General Manager excluded and treated separately | Repatriates transition to Local — Venezuela from M7 after a one-time transition bonus</t>
  </si>
  <si>
    <t xml:space="preserve">USD | M1–M12 = annual base salary / 12 | One-time transition bonus is not included in monthly base salary | 8 people only</t>
  </si>
  <si>
    <t xml:space="preserve">#</t>
  </si>
  <si>
    <t xml:space="preserve">Position</t>
  </si>
  <si>
    <t xml:space="preserve">Person</t>
  </si>
  <si>
    <t xml:space="preserve">Contract Type M1–M6</t>
  </si>
  <si>
    <t xml:space="preserve">Expatriate?</t>
  </si>
  <si>
    <t xml:space="preserve">Work Arrangement</t>
  </si>
  <si>
    <t xml:space="preserve">M7+ Employment Basis</t>
  </si>
  <si>
    <t xml:space="preserve">One-Time Transition Bonus (M7)</t>
  </si>
  <si>
    <t xml:space="preserve">Classification Status</t>
  </si>
  <si>
    <t xml:space="preserve">Notes</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</si>
  <si>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</si>
  <si>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</si>
  <si>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</si>
  <si>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</si>
  <si>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</si>
  <si>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</si>
  <si>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</si>
  <si>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</si>
  <si>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</si>
  <si>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</si>
  <si>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</si>
  <si>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</si>
  <si>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Base Salary Annual</t>
  </si>
  <si>
    <t xml:space="preserve">EPCM &amp; Engineering Manager</t>
  </si>
  <si>
    <t xml:space="preserve">Juan Conde</t>
  </si>
  <si>
    <t xml:space="preserve">Repatriate</t>
  </si>
  <si>
    <t xml:space="preserve">Fixed</t>
  </si>
  <si>
    <t xml:space="preserve">Eligible — one-time; 1.50x monthly salary</t>
  </si>
  <si>
    <t xml:space="preserve">Confirmed</t>
  </si>
  <si>
    <t xml:space="preserve">Repatriate; transitions to Local — Venezuela from M7 after the one-time transition package.</t>
  </si>
  <si>
    <t xml:space="preserve">Drilling &amp; Well Services Manager</t>
  </si>
  <si>
    <t xml:space="preserve">Alexander Stulme</t>
  </si>
  <si>
    <t xml:space="preserve">Repatriate; initially appointed General Manager of PU on secondment; transitions to Local — Venezuela from M7 after the one-time transition package.</t>
  </si>
  <si>
    <t xml:space="preserve">Operations &amp; Maintenance Manager</t>
  </si>
  <si>
    <t xml:space="preserve">Félix Valderrama</t>
  </si>
  <si>
    <t xml:space="preserve">Technical Manager (Geosciences)</t>
  </si>
  <si>
    <t xml:space="preserve">Alan McKeon</t>
  </si>
  <si>
    <t xml:space="preserve">Expat</t>
  </si>
  <si>
    <t xml:space="preserve">Not applicable</t>
  </si>
  <si>
    <t xml:space="preserve">Expat; initially appointed Technical Manager of PU on secondment.</t>
  </si>
  <si>
    <t xml:space="preserve">Reservoir Engineer</t>
  </si>
  <si>
    <t xml:space="preserve">JJI</t>
  </si>
  <si>
    <t xml:space="preserve">Local</t>
  </si>
  <si>
    <t xml:space="preserve">Assumption</t>
  </si>
  <si>
    <t xml:space="preserve">Remote role. Local / Fixed is an editable assumption pending confirmation.</t>
  </si>
  <si>
    <t xml:space="preserve">Rig Company Man</t>
  </si>
  <si>
    <t xml:space="preserve">Marcelo Dantas</t>
  </si>
  <si>
    <t xml:space="preserve">Rotation</t>
  </si>
  <si>
    <t xml:space="preserve">Rotation confirmed from prior instructions; Expat contract is an editable assumption.</t>
  </si>
  <si>
    <t xml:space="preserve">Planning &amp; PMO</t>
  </si>
  <si>
    <t xml:space="preserve">Jose Miguel</t>
  </si>
  <si>
    <t xml:space="preserve">Local in Maracaibo or staff house; no cash housing allowance by default.</t>
  </si>
  <si>
    <t xml:space="preserve">Operations Support</t>
  </si>
  <si>
    <t xml:space="preserve">TBD — Person to be defined</t>
  </si>
  <si>
    <t xml:space="preserve">TBD</t>
  </si>
  <si>
    <t xml:space="preserve">Open position. Person, contract type, work arrangement and benefits are to be defined. Salary remains a budget placeholder from the source table.</t>
  </si>
  <si>
    <t xml:space="preserve">TOTAL — 8 PEOPLE (COO EXCLUDED)</t>
  </si>
  <si>
    <t xml:space="preserve">CLASSIFICATION SUMMARY</t>
  </si>
  <si>
    <t xml:space="preserve">Metric</t>
  </si>
  <si>
    <t xml:space="preserve">Count</t>
  </si>
  <si>
    <t xml:space="preserve">Meaning</t>
  </si>
  <si>
    <t xml:space="preserve">M1–M6 contract type Expat</t>
  </si>
  <si>
    <t xml:space="preserve">Transition to Local — Venezuela from M7</t>
  </si>
  <si>
    <t xml:space="preserve">Local contract from M1 through M12</t>
  </si>
  <si>
    <t xml:space="preserve">Contract type TBD</t>
  </si>
  <si>
    <t xml:space="preserve">Open position; contract type is to be defined</t>
  </si>
  <si>
    <t xml:space="preserve">Fixed work arrangement</t>
  </si>
  <si>
    <t xml:space="preserve">Rotation work arrangement</t>
  </si>
  <si>
    <t xml:space="preserve">Work arrangement TBD</t>
  </si>
  <si>
    <t xml:space="preserve">Open position; work arrangement is to be defined</t>
  </si>
  <si>
    <t xml:space="preserve">One-time transition packages</t>
  </si>
  <si>
    <t xml:space="preserve">M7 only; core package = 1.50x monthly salary</t>
  </si>
  <si>
    <t xml:space="preserve">Assumptions to confirm</t>
  </si>
  <si>
    <t xml:space="preserve">Editable classifications requiring confirmation</t>
  </si>
  <si>
    <t xml:space="preserve">One-Time Repatriation / Localisation Transition Package</t>
  </si>
  <si>
    <t xml:space="preserve">M7 only — moving, settling-in and onboarding costs | Excludes recurring benefits and approved housing</t>
  </si>
  <si>
    <t xml:space="preserve">USD | Editable assumptions in blue | Multipliers are expressed as months of monthly base salary</t>
  </si>
  <si>
    <t xml:space="preserve">CORE PACKAGE COMPONENTS — APPLIES ONLY TO REPATRIATES UPON LOCALISATION IN M7</t>
  </si>
  <si>
    <t xml:space="preserve">Component</t>
  </si>
  <si>
    <t xml:space="preserve">Months of Monthly Salary</t>
  </si>
  <si>
    <t xml:space="preserve">Timing</t>
  </si>
  <si>
    <t xml:space="preserve">Payment Method</t>
  </si>
  <si>
    <t xml:space="preserve">Included Costs</t>
  </si>
  <si>
    <t xml:space="preserve">Policy Treatment</t>
  </si>
  <si>
    <t xml:space="preserve">Moving &amp; household-goods support</t>
  </si>
  <si>
    <t xml:space="preserve">One-time allowance / reimbursement</t>
  </si>
  <si>
    <t xml:space="preserve">Packing, shipment, excess baggage and local move-related costs.</t>
  </si>
  <si>
    <t xml:space="preserve">Use documented reimbursement or capped allowance; exclude any recurring storage.</t>
  </si>
  <si>
    <t xml:space="preserve">Settling-in &amp; incidental expenses</t>
  </si>
  <si>
    <t xml:space="preserve">One-time allowance</t>
  </si>
  <si>
    <t xml:space="preserve">Utilities, connection charges, phone / internet setup and small household items.</t>
  </si>
  <si>
    <t xml:space="preserve">Capped allowance for incidentals not reimbursed elsewhere.</t>
  </si>
  <si>
    <t xml:space="preserve">Temporary lodging &amp; local setup</t>
  </si>
  <si>
    <t xml:space="preserve">One-time allowance / direct payment</t>
  </si>
  <si>
    <t xml:space="preserve">Initial hotel or staff-house transition and practical local setup.</t>
  </si>
  <si>
    <t xml:space="preserve">Use direct company payment where possible; do not duplicate approved housing.</t>
  </si>
  <si>
    <t xml:space="preserve">Local transport &amp; first-mile setup</t>
  </si>
  <si>
    <t xml:space="preserve">Arrival transport, local mobility and initial work-access setup.</t>
  </si>
  <si>
    <t xml:space="preserve">One-time transition support; company commuting transport remains a separate local benefit.</t>
  </si>
  <si>
    <t xml:space="preserve">Documentation, payroll &amp; tax onboarding</t>
  </si>
  <si>
    <t xml:space="preserve">Direct payment / reimbursement</t>
  </si>
  <si>
    <t xml:space="preserve">Local documentation, payroll onboarding and transition tax consultation.</t>
  </si>
  <si>
    <t xml:space="preserve">Prefer direct payment or reimbursement against documentation.</t>
  </si>
  <si>
    <t xml:space="preserve">TOTAL CORE PACKAGE</t>
  </si>
  <si>
    <t xml:space="preserve">EXCLUDED FROM THE ONE-TIME PACKAGE — MANAGED SEPARATELY</t>
  </si>
  <si>
    <t xml:space="preserve">Excluded Item</t>
  </si>
  <si>
    <t xml:space="preserve">Reason</t>
  </si>
  <si>
    <t xml:space="preserve">Base salary</t>
  </si>
  <si>
    <t xml:space="preserve">Already reflected in M1–M12; not a transition cost.</t>
  </si>
  <si>
    <t xml:space="preserve">Medical insurance</t>
  </si>
  <si>
    <t xml:space="preserve">M1–M6 and M7+ benefit; not part of the one-time package.</t>
  </si>
  <si>
    <t xml:space="preserve">Housing / staff house / hotel</t>
  </si>
  <si>
    <t xml:space="preserve">Approved separately by city and individual package; do not duplicate in the allowance.</t>
  </si>
  <si>
    <t xml:space="preserve">Company transport to work</t>
  </si>
  <si>
    <t xml:space="preserve">Ongoing local benefit, where approved; not a transition payment.</t>
  </si>
  <si>
    <t xml:space="preserve">Home leave, stock options, annual incentive and vacation</t>
  </si>
  <si>
    <t xml:space="preserve">Only where separately approved; not included in the repatriation package.</t>
  </si>
  <si>
    <t xml:space="preserve">Venezuelan statutory payroll benefits and taxes</t>
  </si>
  <si>
    <t xml:space="preserve">Apply according to local legal, tax and payroll review.</t>
  </si>
  <si>
    <t xml:space="preserve">M7 TRANSITION PACKAGE CALCULATION — REPATRIATES ONLY</t>
  </si>
  <si>
    <t xml:space="preserve">Monthly Base Salary</t>
  </si>
  <si>
    <t xml:space="preserve">Core Package Multiple</t>
  </si>
  <si>
    <t xml:space="preserve">One-Time Package Cost</t>
  </si>
  <si>
    <t xml:space="preserve">M7 Employment Basis</t>
  </si>
  <si>
    <t xml:space="preserve">Approval Status</t>
  </si>
  <si>
    <t xml:space="preserve">Pending individual approval</t>
  </si>
  <si>
    <t xml:space="preserve">Core 1.50x package; benefits and housing remain outside this calculation.</t>
  </si>
  <si>
    <t xml:space="preserve">TOTAL ONE-TIME M7 PACKAGE</t>
  </si>
  <si>
    <t xml:space="preserve">Policy guardrail: the package is a one-time M7 transition support. Use the component-level multipliers above as planning assumptions; pay direct suppliers or reimburse documented costs where possible, and do not duplicate approved housing, hotel, staff-house, medical or transport benefits. Before payment, Venezuelan legal, tax and HR advisers must confirm the correct payroll, tax, social-security and salary-character treatment.</t>
  </si>
  <si>
    <t xml:space="preserve">Contract and Benefit Rules by Stage</t>
  </si>
  <si>
    <t xml:space="preserve">Default policy view — individual packages may override these rules | One Operations Support position remains open (TBD)</t>
  </si>
  <si>
    <t xml:space="preserve">M1–M6 is initial stage | From M7 Repatriates operate as Local — Venezuela | Policy is subject to legal and HR validation</t>
  </si>
  <si>
    <t xml:space="preserve">M1–M6 Benefits</t>
  </si>
  <si>
    <t xml:space="preserve">M7+ Medical</t>
  </si>
  <si>
    <t xml:space="preserve">M7+ Housing</t>
  </si>
  <si>
    <t xml:space="preserve">M7+ Tax Treatment</t>
  </si>
  <si>
    <t xml:space="preserve">M7+ Other Benefits</t>
  </si>
  <si>
    <t xml:space="preserve">Default Status</t>
  </si>
  <si>
    <t xml:space="preserve">Policy Notes</t>
  </si>
  <si>
    <t xml:space="preserve">People Count</t>
  </si>
  <si>
    <t xml:space="preserve">Medical insurance only</t>
  </si>
  <si>
    <t xml:space="preserve">Continues as Expat assignment</t>
  </si>
  <si>
    <t xml:space="preserve">Company-provided medical insurance</t>
  </si>
  <si>
    <t xml:space="preserve">Housing / allowance only under an approved individual package</t>
  </si>
  <si>
    <t xml:space="preserve">Company tax support / equalisation only where contractually approved</t>
  </si>
  <si>
    <t xml:space="preserve">Home leave and company transport only under approved package</t>
  </si>
  <si>
    <t xml:space="preserve">Provisional</t>
  </si>
  <si>
    <t xml:space="preserve">No universal oil-and-gas benefit grid; package must reflect role, location and contract.</t>
  </si>
  <si>
    <t xml:space="preserve">Local — Venezuela from M7; document local payroll / employment basis</t>
  </si>
  <si>
    <t xml:space="preserve">Medical insurance according to approved local package</t>
  </si>
  <si>
    <t xml:space="preserve">City-based: local residence, staff house, hotel or allowance only if approved</t>
  </si>
  <si>
    <t xml:space="preserve">Employee assumes Venezuelan personal tax; apply local payroll and statutory treatment</t>
  </si>
  <si>
    <t xml:space="preserve">Company transport to work; local statutory benefits; any additional benefit requires individual approval</t>
  </si>
  <si>
    <t xml:space="preserve">Eligible once at M7; core package = 1.50x monthly salary; not recurring; see Repatriation Package</t>
  </si>
  <si>
    <t xml:space="preserve">Confirmed policy direction</t>
  </si>
  <si>
    <t xml:space="preserve">One-time package covers moving, settling-in, temporary lodging, transport and onboarding support—not an annual incentive. Legal review determines salary and tax treatment.</t>
  </si>
  <si>
    <t xml:space="preserve">Local — Venezuela</t>
  </si>
  <si>
    <t xml:space="preserve">Local residence or staff house; no cash housing allowance by default</t>
  </si>
  <si>
    <t xml:space="preserve">Company transport according to role; local statutory benefits</t>
  </si>
  <si>
    <t xml:space="preserve">No international home leave or expat allowance by default.</t>
  </si>
  <si>
    <t xml:space="preserve">Not defined until person and contract are approved</t>
  </si>
  <si>
    <t xml:space="preserve">Not defined</t>
  </si>
  <si>
    <t xml:space="preserve">Open position</t>
  </si>
  <si>
    <t xml:space="preserve">Operations Support headcount is budgeted, but the person, contract type and benefits remain to be defined.</t>
  </si>
  <si>
    <t xml:space="preserve">WORK ARRANGEMENT RULES</t>
  </si>
  <si>
    <t xml:space="preserve">Application</t>
  </si>
  <si>
    <t xml:space="preserve">M1–M6</t>
  </si>
  <si>
    <t xml:space="preserve">M7+ Housing / Lodging</t>
  </si>
  <si>
    <t xml:space="preserve">M7+ Travel / Leave</t>
  </si>
  <si>
    <t xml:space="preserve">Continuous assignment to the role</t>
  </si>
  <si>
    <t xml:space="preserve">Based on contract type, city and approved package</t>
  </si>
  <si>
    <t xml:space="preserve">According to contract type / local policy</t>
  </si>
  <si>
    <t xml:space="preserve">JJI is Fixed but Remote; Remote is noted separately.</t>
  </si>
  <si>
    <t xml:space="preserve">Roster-based presence in Venezuela</t>
  </si>
  <si>
    <t xml:space="preserve">Hotel, staff house or rotational lodging; avoid duplicate permanent housing</t>
  </si>
  <si>
    <t xml:space="preserve">Rotation roster travel replaces or supplements home leave only if approved</t>
  </si>
  <si>
    <t xml:space="preserve">Marcelo Dantas is currently shown as Rotation.</t>
  </si>
  <si>
    <t xml:space="preserve">To be determined with the selected Operations Support employee</t>
  </si>
  <si>
    <t xml:space="preserve">Operations Support is an open position.</t>
  </si>
  <si>
    <t xml:space="preserve">Policy decision recorded: every Repatriate receives only a one-time M7 transition / repatriation package and thereafter is treated as Local — Venezuela. The current core package is 1.50 months of monthly base salary and is itemised on the Repatriation Package tab. It is not a recurring bonus and is excluded from the monthly base salary. The amount, whether it is salary for Venezuelan labor purposes, the payroll / tax / social-security treatment, immigration status, and local statutory benefits must be approved by Venezuelan legal, tax and HR advisers before implementation. Venezuelan rules apply to employment relationships performed in Venezuela, irrespective of nationality.</t>
  </si>
</sst>
</file>

<file path=xl/styles.xml><?xml version="1.0" encoding="utf-8"?>
<styleSheet xmlns="http://schemas.openxmlformats.org/spreadsheetml/2006/main">
  <numFmts count="6">
    <numFmt numFmtId="164" formatCode="General"/>
    <numFmt numFmtId="165" formatCode="General"/>
    <numFmt numFmtId="166" formatCode="\$#,##0.0;[RED]&quot;($&quot;#,##0.0\);\-"/>
    <numFmt numFmtId="167" formatCode="#,##0.0;[RED]\(#,##0.0\);\-"/>
    <numFmt numFmtId="168" formatCode="#,##0"/>
    <numFmt numFmtId="169" formatCode="0.00\x"/>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11"/>
      <color rgb="FF000000"/>
      <name val="Arial"/>
      <family val="0"/>
      <charset val="1"/>
    </font>
    <font>
      <i val="true"/>
      <sz val="9"/>
      <color rgb="FF666666"/>
      <name val="Arial"/>
      <family val="0"/>
      <charset val="1"/>
    </font>
    <font>
      <b val="true"/>
      <sz val="10"/>
      <color rgb="FF000000"/>
      <name val="Arial"/>
      <family val="0"/>
      <charset val="1"/>
    </font>
    <font>
      <sz val="10"/>
      <color rgb="FF0000FF"/>
      <name val="Arial"/>
      <family val="0"/>
      <charset val="1"/>
    </font>
    <font>
      <sz val="10"/>
      <color rgb="FF000000"/>
      <name val="Arial"/>
      <family val="0"/>
      <charset val="1"/>
    </font>
    <font>
      <sz val="10"/>
      <name val="Arial"/>
      <family val="2"/>
    </font>
    <font>
      <sz val="10"/>
      <color rgb="FF008000"/>
      <name val="Arial"/>
      <family val="0"/>
      <charset val="1"/>
    </font>
    <font>
      <b val="true"/>
      <sz val="10"/>
      <color rgb="FFC00000"/>
      <name val="Arial"/>
      <family val="0"/>
      <charset val="1"/>
    </font>
  </fonts>
  <fills count="4">
    <fill>
      <patternFill patternType="none"/>
    </fill>
    <fill>
      <patternFill patternType="gray125"/>
    </fill>
    <fill>
      <patternFill patternType="solid">
        <fgColor rgb="FF135B44"/>
        <bgColor rgb="FF333333"/>
      </patternFill>
    </fill>
    <fill>
      <patternFill patternType="solid">
        <fgColor rgb="FFCFE9E0"/>
        <bgColor rgb="FFCCFFFF"/>
      </patternFill>
    </fill>
  </fills>
  <borders count="5">
    <border diagonalUp="false" diagonalDown="false">
      <left/>
      <right/>
      <top/>
      <bottom/>
      <diagonal/>
    </border>
    <border diagonalUp="false" diagonalDown="false">
      <left style="thin">
        <color rgb="FFB7B7B7"/>
      </left>
      <right/>
      <top style="thin">
        <color rgb="FFB7B7B7"/>
      </top>
      <bottom style="thin">
        <color rgb="FFB7B7B7"/>
      </bottom>
      <diagonal/>
    </border>
    <border diagonalUp="false" diagonalDown="false">
      <left/>
      <right/>
      <top style="thin">
        <color rgb="FFB7B7B7"/>
      </top>
      <bottom style="thin">
        <color rgb="FFB7B7B7"/>
      </bottom>
      <diagonal/>
    </border>
    <border diagonalUp="false" diagonalDown="false">
      <left/>
      <right style="thin">
        <color rgb="FFB7B7B7"/>
      </right>
      <top style="thin">
        <color rgb="FFB7B7B7"/>
      </top>
      <bottom style="thin">
        <color rgb="FFB7B7B7"/>
      </bottom>
      <diagonal/>
    </border>
    <border diagonalUp="false" diagonalDown="false">
      <left/>
      <right/>
      <top style="medium"/>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3" borderId="2" xfId="0" applyFont="true" applyBorder="true" applyAlignment="true" applyProtection="false">
      <alignment horizontal="center" vertical="center" textRotation="0" wrapText="true" indent="0" shrinkToFit="false"/>
      <protection locked="true" hidden="false"/>
    </xf>
    <xf numFmtId="164" fontId="7" fillId="3" borderId="3"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right" vertical="center" textRotation="0" wrapText="false" indent="0" shrinkToFit="false"/>
      <protection locked="true" hidden="false"/>
    </xf>
    <xf numFmtId="164" fontId="8" fillId="0" borderId="2" xfId="0" applyFont="true" applyBorder="true" applyAlignment="true" applyProtection="false">
      <alignment horizontal="left" vertical="center" textRotation="0" wrapText="true" indent="0" shrinkToFit="false"/>
      <protection locked="true" hidden="false"/>
    </xf>
    <xf numFmtId="164" fontId="8" fillId="0" borderId="2" xfId="0" applyFont="true" applyBorder="true" applyAlignment="true" applyProtection="false">
      <alignment horizontal="left" vertical="center"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9" fillId="0" borderId="2" xfId="0" applyFont="true" applyBorder="true" applyAlignment="true" applyProtection="false">
      <alignment horizontal="center" vertical="center" textRotation="0" wrapText="false" indent="0" shrinkToFit="false"/>
      <protection locked="true" hidden="false"/>
    </xf>
    <xf numFmtId="165" fontId="9" fillId="0" borderId="2" xfId="0" applyFont="true" applyBorder="true" applyAlignment="true" applyProtection="false">
      <alignment horizontal="center" vertical="center" textRotation="0" wrapText="true" indent="0" shrinkToFit="false"/>
      <protection locked="true" hidden="false"/>
    </xf>
    <xf numFmtId="164" fontId="8" fillId="0" borderId="2" xfId="0" applyFont="true" applyBorder="true" applyAlignment="true" applyProtection="false">
      <alignment horizontal="center" vertical="center" textRotation="0" wrapText="true" indent="0" shrinkToFit="false"/>
      <protection locked="true" hidden="false"/>
    </xf>
    <xf numFmtId="166" fontId="9" fillId="0" borderId="2" xfId="0" applyFont="true" applyBorder="true" applyAlignment="true" applyProtection="false">
      <alignment horizontal="right" vertical="center" textRotation="0" wrapText="false" indent="0" shrinkToFit="false"/>
      <protection locked="true" hidden="false"/>
    </xf>
    <xf numFmtId="167" fontId="9" fillId="0" borderId="2" xfId="0" applyFont="true" applyBorder="true" applyAlignment="true" applyProtection="false">
      <alignment horizontal="right" vertical="center" textRotation="0" wrapText="false" indent="0" shrinkToFit="false"/>
      <protection locked="true" hidden="false"/>
    </xf>
    <xf numFmtId="166" fontId="8" fillId="0" borderId="3" xfId="0" applyFont="true" applyBorder="true" applyAlignment="true" applyProtection="false">
      <alignment horizontal="right" vertical="center" textRotation="0" wrapText="false" indent="0" shrinkToFit="false"/>
      <protection locked="true" hidden="false"/>
    </xf>
    <xf numFmtId="167" fontId="8" fillId="0" borderId="3" xfId="0" applyFont="true" applyBorder="true" applyAlignment="true" applyProtection="false">
      <alignment horizontal="right" vertical="center" textRotation="0" wrapText="false" indent="0" shrinkToFit="false"/>
      <protection locked="true" hidden="false"/>
    </xf>
    <xf numFmtId="164" fontId="7" fillId="0" borderId="4" xfId="0" applyFont="true" applyBorder="true" applyAlignment="false" applyProtection="false">
      <alignment horizontal="general" vertical="bottom" textRotation="0" wrapText="false" indent="0" shrinkToFit="false"/>
      <protection locked="true" hidden="false"/>
    </xf>
    <xf numFmtId="166" fontId="9" fillId="0" borderId="4" xfId="0" applyFont="true" applyBorder="true" applyAlignment="true" applyProtection="false">
      <alignment horizontal="right" vertical="center" textRotation="0" wrapText="false" indent="0" shrinkToFit="false"/>
      <protection locked="true" hidden="false"/>
    </xf>
    <xf numFmtId="167" fontId="9" fillId="0" borderId="4" xfId="0" applyFont="true" applyBorder="true" applyAlignment="true" applyProtection="false">
      <alignment horizontal="right" vertical="center" textRotation="0" wrapText="false" indent="0" shrinkToFit="false"/>
      <protection locked="true" hidden="false"/>
    </xf>
    <xf numFmtId="164" fontId="7" fillId="3"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xf numFmtId="164" fontId="9" fillId="0" borderId="3"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9" fontId="8" fillId="0" borderId="2" xfId="0" applyFont="true" applyBorder="true" applyAlignment="true" applyProtection="false">
      <alignment horizontal="right" vertical="center" textRotation="0" wrapText="true" indent="0" shrinkToFit="false"/>
      <protection locked="true" hidden="false"/>
    </xf>
    <xf numFmtId="164" fontId="8" fillId="0" borderId="3"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9"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6" fontId="11" fillId="0" borderId="2" xfId="0" applyFont="true" applyBorder="true" applyAlignment="true" applyProtection="false">
      <alignment horizontal="right" vertical="center" textRotation="0" wrapText="true" indent="0" shrinkToFit="false"/>
      <protection locked="true" hidden="false"/>
    </xf>
    <xf numFmtId="169" fontId="9" fillId="0" borderId="2" xfId="0" applyFont="true" applyBorder="true" applyAlignment="true" applyProtection="false">
      <alignment horizontal="right" vertical="center" textRotation="0" wrapText="true" indent="0" shrinkToFit="false"/>
      <protection locked="true" hidden="false"/>
    </xf>
    <xf numFmtId="166" fontId="9" fillId="0" borderId="2" xfId="0" applyFont="true" applyBorder="true" applyAlignment="true" applyProtection="false">
      <alignment horizontal="right" vertical="center" textRotation="0" wrapText="true" indent="0" shrinkToFit="false"/>
      <protection locked="true" hidden="false"/>
    </xf>
    <xf numFmtId="165" fontId="11" fillId="0" borderId="2" xfId="0" applyFont="true" applyBorder="true" applyAlignment="true" applyProtection="false">
      <alignment horizontal="left" vertical="center" textRotation="0" wrapText="true" indent="0" shrinkToFit="false"/>
      <protection locked="true" hidden="false"/>
    </xf>
    <xf numFmtId="167" fontId="11" fillId="0" borderId="2" xfId="0" applyFont="true" applyBorder="true" applyAlignment="true" applyProtection="false">
      <alignment horizontal="right" vertical="center" textRotation="0" wrapText="true" indent="0" shrinkToFit="false"/>
      <protection locked="true" hidden="false"/>
    </xf>
    <xf numFmtId="167" fontId="9" fillId="0" borderId="2" xfId="0" applyFont="true" applyBorder="true" applyAlignment="true" applyProtection="false">
      <alignment horizontal="right" vertical="center" textRotation="0" wrapText="true" indent="0" shrinkToFit="false"/>
      <protection locked="true" hidden="false"/>
    </xf>
    <xf numFmtId="166" fontId="9" fillId="0"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top" textRotation="0" wrapText="true" indent="0" shrinkToFit="false"/>
      <protection locked="true" hidden="false"/>
    </xf>
    <xf numFmtId="168" fontId="11" fillId="0" borderId="3" xfId="0" applyFont="tru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F2C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FE9E0"/>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35B4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Y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2" ySplit="8" topLeftCell="M9" activePane="bottomRight" state="frozen"/>
      <selection pane="topLeft" activeCell="A1" activeCellId="0" sqref="A1"/>
      <selection pane="topRight" activeCell="M1" activeCellId="0" sqref="M1"/>
      <selection pane="bottomLeft" activeCell="A9" activeCellId="0" sqref="A9"/>
      <selection pane="bottomRigh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34"/>
    <col collapsed="false" customWidth="true" hidden="false" outlineLevel="0" max="5" min="4" style="0" width="38"/>
    <col collapsed="false" customWidth="true" hidden="false" outlineLevel="0" max="6" min="6" style="0" width="22"/>
    <col collapsed="false" customWidth="true" hidden="false" outlineLevel="0" max="7" min="7" style="0" width="30"/>
    <col collapsed="false" customWidth="true" hidden="false" outlineLevel="0" max="8" min="8" style="0" width="19"/>
    <col collapsed="false" customWidth="true" hidden="false" outlineLevel="0" max="9" min="9" style="0" width="38"/>
    <col collapsed="false" customWidth="true" hidden="false" outlineLevel="0" max="10" min="10" style="0" width="29"/>
    <col collapsed="false" customWidth="true" hidden="false" outlineLevel="0" max="11" min="11" style="0" width="24"/>
    <col collapsed="false" customWidth="true" hidden="false" outlineLevel="0" max="12" min="12" style="0" width="38"/>
    <col collapsed="false" customWidth="true" hidden="false" outlineLevel="0" max="25" min="13" style="0" width="14"/>
  </cols>
  <sheetData>
    <row r="3" customFormat="false" ht="24.75" hidden="false" customHeight="true" outlineLevel="0" collapsed="false">
      <c r="C3" s="1" t="s">
        <v>0</v>
      </c>
      <c r="D3" s="1"/>
      <c r="E3" s="1"/>
      <c r="F3" s="1"/>
      <c r="G3" s="1"/>
      <c r="H3" s="1"/>
      <c r="I3" s="1"/>
      <c r="J3" s="1"/>
      <c r="K3" s="1"/>
      <c r="L3" s="1"/>
      <c r="M3" s="1"/>
      <c r="N3" s="1"/>
      <c r="O3" s="1"/>
      <c r="P3" s="1"/>
      <c r="Q3" s="1"/>
      <c r="R3" s="1"/>
      <c r="S3" s="1"/>
      <c r="T3" s="1"/>
      <c r="U3" s="1"/>
      <c r="V3" s="1"/>
      <c r="W3" s="1"/>
      <c r="X3" s="1"/>
      <c r="Y3" s="1"/>
    </row>
    <row r="5" customFormat="false" ht="15" hidden="false" customHeight="false" outlineLevel="0" collapsed="false">
      <c r="C5" s="2" t="s">
        <v>1</v>
      </c>
      <c r="D5" s="2"/>
      <c r="E5" s="2"/>
      <c r="F5" s="2"/>
      <c r="G5" s="2"/>
      <c r="H5" s="2"/>
      <c r="I5" s="2"/>
      <c r="J5" s="2"/>
      <c r="K5" s="2"/>
      <c r="L5" s="2"/>
      <c r="M5" s="2"/>
      <c r="N5" s="2"/>
      <c r="O5" s="2"/>
      <c r="P5" s="2"/>
      <c r="Q5" s="2"/>
      <c r="R5" s="2"/>
      <c r="S5" s="2"/>
      <c r="T5" s="2"/>
      <c r="U5" s="2"/>
      <c r="V5" s="2"/>
      <c r="W5" s="2"/>
      <c r="X5" s="2"/>
      <c r="Y5" s="2"/>
    </row>
    <row r="6" customFormat="false" ht="15" hidden="false" customHeight="false" outlineLevel="0" collapsed="false">
      <c r="C6" s="3" t="s">
        <v>2</v>
      </c>
      <c r="D6" s="3"/>
      <c r="E6" s="3"/>
      <c r="F6" s="3"/>
      <c r="G6" s="3"/>
      <c r="H6" s="3"/>
      <c r="I6" s="3"/>
      <c r="J6" s="3"/>
      <c r="K6" s="3"/>
      <c r="L6" s="3"/>
      <c r="M6" s="3"/>
      <c r="N6" s="3"/>
      <c r="O6" s="3"/>
      <c r="P6" s="3"/>
      <c r="Q6" s="3"/>
      <c r="R6" s="3"/>
      <c r="S6" s="3"/>
      <c r="T6" s="3"/>
      <c r="U6" s="3"/>
      <c r="V6" s="3"/>
      <c r="W6" s="3"/>
      <c r="X6" s="3"/>
      <c r="Y6" s="3"/>
    </row>
    <row r="8" customFormat="false" ht="33.75" hidden="false" customHeight="true" outlineLevel="0" collapsed="false">
      <c r="C8" s="4" t="s">
        <v>3</v>
      </c>
      <c r="D8" s="5" t="s">
        <v>4</v>
      </c>
      <c r="E8" s="5" t="s">
        <v>5</v>
      </c>
      <c r="F8" s="5" t="s">
        <v>6</v>
      </c>
      <c r="G8" s="5" t="s">
        <v>7</v>
      </c>
      <c r="H8" s="5" t="s">
        <v>8</v>
      </c>
      <c r="I8" s="5" t="s">
        <v>9</v>
      </c>
      <c r="J8" s="5" t="s">
        <v>10</v>
      </c>
      <c r="K8" s="5" t="s">
        <v>11</v>
      </c>
      <c r="L8" s="5" t="s">
        <v>12</v>
      </c>
      <c r="M8" s="5" t="s">
        <v>13</v>
      </c>
      <c r="N8" s="5" t="s">
        <v>14</v>
      </c>
      <c r="O8" s="5" t="s">
        <v>15</v>
      </c>
      <c r="P8" s="5" t="s">
        <v>16</v>
      </c>
      <c r="Q8" s="5" t="s">
        <v>17</v>
      </c>
      <c r="R8" s="5" t="s">
        <v>18</v>
      </c>
      <c r="S8" s="5" t="s">
        <v>19</v>
      </c>
      <c r="T8" s="5" t="s">
        <v>20</v>
      </c>
      <c r="U8" s="5" t="s">
        <v>21</v>
      </c>
      <c r="V8" s="5" t="s">
        <v>22</v>
      </c>
      <c r="W8" s="5" t="s">
        <v>23</v>
      </c>
      <c r="X8" s="5" t="s">
        <v>24</v>
      </c>
      <c r="Y8" s="6" t="s">
        <v>25</v>
      </c>
    </row>
    <row r="9" customFormat="false" ht="31.5" hidden="false" customHeight="true" outlineLevel="0" collapsed="false">
      <c r="C9" s="7" t="n">
        <v>1</v>
      </c>
      <c r="D9" s="8" t="s">
        <v>26</v>
      </c>
      <c r="E9" s="9" t="s">
        <v>27</v>
      </c>
      <c r="F9" s="10" t="s">
        <v>28</v>
      </c>
      <c r="G9" s="11" t="str">
        <f aca="false">IF(F9="Expat","Yes","No")</f>
        <v>No</v>
      </c>
      <c r="H9" s="10" t="s">
        <v>29</v>
      </c>
      <c r="I9" s="12" t="str">
        <f aca="false">IF(F9="Repatriate","Local — Venezuela",F9)</f>
        <v>Local — Venezuela</v>
      </c>
      <c r="J9" s="13" t="s">
        <v>30</v>
      </c>
      <c r="K9" s="10" t="s">
        <v>31</v>
      </c>
      <c r="L9" s="8" t="s">
        <v>32</v>
      </c>
      <c r="M9" s="14" t="n">
        <f aca="false">$Y9/12</f>
        <v>18000</v>
      </c>
      <c r="N9" s="15" t="n">
        <f aca="false">$Y9/12</f>
        <v>18000</v>
      </c>
      <c r="O9" s="15" t="n">
        <f aca="false">$Y9/12</f>
        <v>18000</v>
      </c>
      <c r="P9" s="15" t="n">
        <f aca="false">$Y9/12</f>
        <v>18000</v>
      </c>
      <c r="Q9" s="15" t="n">
        <f aca="false">$Y9/12</f>
        <v>18000</v>
      </c>
      <c r="R9" s="15" t="n">
        <f aca="false">$Y9/12</f>
        <v>18000</v>
      </c>
      <c r="S9" s="15" t="n">
        <f aca="false">$Y9/12</f>
        <v>18000</v>
      </c>
      <c r="T9" s="15" t="n">
        <f aca="false">$Y9/12</f>
        <v>18000</v>
      </c>
      <c r="U9" s="15" t="n">
        <f aca="false">$Y9/12</f>
        <v>18000</v>
      </c>
      <c r="V9" s="15" t="n">
        <f aca="false">$Y9/12</f>
        <v>18000</v>
      </c>
      <c r="W9" s="15" t="n">
        <f aca="false">$Y9/12</f>
        <v>18000</v>
      </c>
      <c r="X9" s="15" t="n">
        <f aca="false">$Y9/12</f>
        <v>18000</v>
      </c>
      <c r="Y9" s="16" t="n">
        <v>216000</v>
      </c>
    </row>
    <row r="10" customFormat="false" ht="31.5" hidden="false" customHeight="true" outlineLevel="0" collapsed="false">
      <c r="C10" s="7" t="n">
        <v>2</v>
      </c>
      <c r="D10" s="8" t="s">
        <v>33</v>
      </c>
      <c r="E10" s="9" t="s">
        <v>34</v>
      </c>
      <c r="F10" s="10" t="s">
        <v>28</v>
      </c>
      <c r="G10" s="11" t="str">
        <f aca="false">IF(F10="Expat","Yes","No")</f>
        <v>No</v>
      </c>
      <c r="H10" s="10" t="s">
        <v>29</v>
      </c>
      <c r="I10" s="12" t="str">
        <f aca="false">IF(F10="Repatriate","Local — Venezuela",F10)</f>
        <v>Local — Venezuela</v>
      </c>
      <c r="J10" s="13" t="s">
        <v>30</v>
      </c>
      <c r="K10" s="10" t="s">
        <v>31</v>
      </c>
      <c r="L10" s="8" t="s">
        <v>35</v>
      </c>
      <c r="M10" s="15" t="n">
        <f aca="false">$Y10/12</f>
        <v>15000</v>
      </c>
      <c r="N10" s="15" t="n">
        <f aca="false">$Y10/12</f>
        <v>15000</v>
      </c>
      <c r="O10" s="15" t="n">
        <f aca="false">$Y10/12</f>
        <v>15000</v>
      </c>
      <c r="P10" s="15" t="n">
        <f aca="false">$Y10/12</f>
        <v>15000</v>
      </c>
      <c r="Q10" s="15" t="n">
        <f aca="false">$Y10/12</f>
        <v>15000</v>
      </c>
      <c r="R10" s="15" t="n">
        <f aca="false">$Y10/12</f>
        <v>15000</v>
      </c>
      <c r="S10" s="15" t="n">
        <f aca="false">$Y10/12</f>
        <v>15000</v>
      </c>
      <c r="T10" s="15" t="n">
        <f aca="false">$Y10/12</f>
        <v>15000</v>
      </c>
      <c r="U10" s="15" t="n">
        <f aca="false">$Y10/12</f>
        <v>15000</v>
      </c>
      <c r="V10" s="15" t="n">
        <f aca="false">$Y10/12</f>
        <v>15000</v>
      </c>
      <c r="W10" s="15" t="n">
        <f aca="false">$Y10/12</f>
        <v>15000</v>
      </c>
      <c r="X10" s="15" t="n">
        <f aca="false">$Y10/12</f>
        <v>15000</v>
      </c>
      <c r="Y10" s="17" t="n">
        <v>180000</v>
      </c>
    </row>
    <row r="11" customFormat="false" ht="31.5" hidden="false" customHeight="true" outlineLevel="0" collapsed="false">
      <c r="C11" s="7" t="n">
        <v>3</v>
      </c>
      <c r="D11" s="8" t="s">
        <v>36</v>
      </c>
      <c r="E11" s="9" t="s">
        <v>37</v>
      </c>
      <c r="F11" s="10" t="s">
        <v>28</v>
      </c>
      <c r="G11" s="11" t="str">
        <f aca="false">IF(F11="Expat","Yes","No")</f>
        <v>No</v>
      </c>
      <c r="H11" s="10" t="s">
        <v>29</v>
      </c>
      <c r="I11" s="12" t="str">
        <f aca="false">IF(F11="Repatriate","Local — Venezuela",F11)</f>
        <v>Local — Venezuela</v>
      </c>
      <c r="J11" s="13" t="s">
        <v>30</v>
      </c>
      <c r="K11" s="10" t="s">
        <v>31</v>
      </c>
      <c r="L11" s="8" t="s">
        <v>32</v>
      </c>
      <c r="M11" s="15" t="n">
        <f aca="false">$Y11/12</f>
        <v>18000</v>
      </c>
      <c r="N11" s="15" t="n">
        <f aca="false">$Y11/12</f>
        <v>18000</v>
      </c>
      <c r="O11" s="15" t="n">
        <f aca="false">$Y11/12</f>
        <v>18000</v>
      </c>
      <c r="P11" s="15" t="n">
        <f aca="false">$Y11/12</f>
        <v>18000</v>
      </c>
      <c r="Q11" s="15" t="n">
        <f aca="false">$Y11/12</f>
        <v>18000</v>
      </c>
      <c r="R11" s="15" t="n">
        <f aca="false">$Y11/12</f>
        <v>18000</v>
      </c>
      <c r="S11" s="15" t="n">
        <f aca="false">$Y11/12</f>
        <v>18000</v>
      </c>
      <c r="T11" s="15" t="n">
        <f aca="false">$Y11/12</f>
        <v>18000</v>
      </c>
      <c r="U11" s="15" t="n">
        <f aca="false">$Y11/12</f>
        <v>18000</v>
      </c>
      <c r="V11" s="15" t="n">
        <f aca="false">$Y11/12</f>
        <v>18000</v>
      </c>
      <c r="W11" s="15" t="n">
        <f aca="false">$Y11/12</f>
        <v>18000</v>
      </c>
      <c r="X11" s="15" t="n">
        <f aca="false">$Y11/12</f>
        <v>18000</v>
      </c>
      <c r="Y11" s="17" t="n">
        <v>216000</v>
      </c>
    </row>
    <row r="12" customFormat="false" ht="31.5" hidden="false" customHeight="true" outlineLevel="0" collapsed="false">
      <c r="C12" s="7" t="n">
        <v>4</v>
      </c>
      <c r="D12" s="8" t="s">
        <v>38</v>
      </c>
      <c r="E12" s="9" t="s">
        <v>39</v>
      </c>
      <c r="F12" s="10" t="s">
        <v>40</v>
      </c>
      <c r="G12" s="11" t="str">
        <f aca="false">IF(F12="Expat","Yes","No")</f>
        <v>Yes</v>
      </c>
      <c r="H12" s="10" t="s">
        <v>29</v>
      </c>
      <c r="I12" s="12" t="str">
        <f aca="false">IF(F12="Repatriate","Local — Venezuela",F12)</f>
        <v>Expat</v>
      </c>
      <c r="J12" s="13" t="s">
        <v>41</v>
      </c>
      <c r="K12" s="10" t="s">
        <v>31</v>
      </c>
      <c r="L12" s="8" t="s">
        <v>42</v>
      </c>
      <c r="M12" s="15" t="n">
        <f aca="false">$Y12/12</f>
        <v>15000</v>
      </c>
      <c r="N12" s="15" t="n">
        <f aca="false">$Y12/12</f>
        <v>15000</v>
      </c>
      <c r="O12" s="15" t="n">
        <f aca="false">$Y12/12</f>
        <v>15000</v>
      </c>
      <c r="P12" s="15" t="n">
        <f aca="false">$Y12/12</f>
        <v>15000</v>
      </c>
      <c r="Q12" s="15" t="n">
        <f aca="false">$Y12/12</f>
        <v>15000</v>
      </c>
      <c r="R12" s="15" t="n">
        <f aca="false">$Y12/12</f>
        <v>15000</v>
      </c>
      <c r="S12" s="15" t="n">
        <f aca="false">$Y12/12</f>
        <v>15000</v>
      </c>
      <c r="T12" s="15" t="n">
        <f aca="false">$Y12/12</f>
        <v>15000</v>
      </c>
      <c r="U12" s="15" t="n">
        <f aca="false">$Y12/12</f>
        <v>15000</v>
      </c>
      <c r="V12" s="15" t="n">
        <f aca="false">$Y12/12</f>
        <v>15000</v>
      </c>
      <c r="W12" s="15" t="n">
        <f aca="false">$Y12/12</f>
        <v>15000</v>
      </c>
      <c r="X12" s="15" t="n">
        <f aca="false">$Y12/12</f>
        <v>15000</v>
      </c>
      <c r="Y12" s="17" t="n">
        <v>180000</v>
      </c>
    </row>
    <row r="13" customFormat="false" ht="31.5" hidden="false" customHeight="true" outlineLevel="0" collapsed="false">
      <c r="C13" s="7" t="n">
        <v>5</v>
      </c>
      <c r="D13" s="8" t="s">
        <v>43</v>
      </c>
      <c r="E13" s="9" t="s">
        <v>44</v>
      </c>
      <c r="F13" s="10" t="s">
        <v>45</v>
      </c>
      <c r="G13" s="11" t="str">
        <f aca="false">IF(F13="Expat","Yes","No")</f>
        <v>No</v>
      </c>
      <c r="H13" s="10" t="s">
        <v>29</v>
      </c>
      <c r="I13" s="12" t="str">
        <f aca="false">IF(F13="Repatriate","Local — Venezuela",F13)</f>
        <v>Local</v>
      </c>
      <c r="J13" s="13" t="s">
        <v>41</v>
      </c>
      <c r="K13" s="10" t="s">
        <v>46</v>
      </c>
      <c r="L13" s="8" t="s">
        <v>47</v>
      </c>
      <c r="M13" s="15" t="n">
        <f aca="false">$Y13/12</f>
        <v>10000</v>
      </c>
      <c r="N13" s="15" t="n">
        <f aca="false">$Y13/12</f>
        <v>10000</v>
      </c>
      <c r="O13" s="15" t="n">
        <f aca="false">$Y13/12</f>
        <v>10000</v>
      </c>
      <c r="P13" s="15" t="n">
        <f aca="false">$Y13/12</f>
        <v>10000</v>
      </c>
      <c r="Q13" s="15" t="n">
        <f aca="false">$Y13/12</f>
        <v>10000</v>
      </c>
      <c r="R13" s="15" t="n">
        <f aca="false">$Y13/12</f>
        <v>10000</v>
      </c>
      <c r="S13" s="15" t="n">
        <f aca="false">$Y13/12</f>
        <v>10000</v>
      </c>
      <c r="T13" s="15" t="n">
        <f aca="false">$Y13/12</f>
        <v>10000</v>
      </c>
      <c r="U13" s="15" t="n">
        <f aca="false">$Y13/12</f>
        <v>10000</v>
      </c>
      <c r="V13" s="15" t="n">
        <f aca="false">$Y13/12</f>
        <v>10000</v>
      </c>
      <c r="W13" s="15" t="n">
        <f aca="false">$Y13/12</f>
        <v>10000</v>
      </c>
      <c r="X13" s="15" t="n">
        <f aca="false">$Y13/12</f>
        <v>10000</v>
      </c>
      <c r="Y13" s="17" t="n">
        <v>120000</v>
      </c>
    </row>
    <row r="14" customFormat="false" ht="31.5" hidden="false" customHeight="true" outlineLevel="0" collapsed="false">
      <c r="C14" s="7" t="n">
        <v>6</v>
      </c>
      <c r="D14" s="8" t="s">
        <v>48</v>
      </c>
      <c r="E14" s="9" t="s">
        <v>49</v>
      </c>
      <c r="F14" s="10" t="s">
        <v>40</v>
      </c>
      <c r="G14" s="11" t="str">
        <f aca="false">IF(F14="Expat","Yes","No")</f>
        <v>Yes</v>
      </c>
      <c r="H14" s="10" t="s">
        <v>50</v>
      </c>
      <c r="I14" s="12" t="str">
        <f aca="false">IF(F14="Repatriate","Local — Venezuela",F14)</f>
        <v>Expat</v>
      </c>
      <c r="J14" s="13" t="s">
        <v>41</v>
      </c>
      <c r="K14" s="10" t="s">
        <v>46</v>
      </c>
      <c r="L14" s="8" t="s">
        <v>51</v>
      </c>
      <c r="M14" s="15" t="n">
        <f aca="false">$Y14/12</f>
        <v>15000</v>
      </c>
      <c r="N14" s="15" t="n">
        <f aca="false">$Y14/12</f>
        <v>15000</v>
      </c>
      <c r="O14" s="15" t="n">
        <f aca="false">$Y14/12</f>
        <v>15000</v>
      </c>
      <c r="P14" s="15" t="n">
        <f aca="false">$Y14/12</f>
        <v>15000</v>
      </c>
      <c r="Q14" s="15" t="n">
        <f aca="false">$Y14/12</f>
        <v>15000</v>
      </c>
      <c r="R14" s="15" t="n">
        <f aca="false">$Y14/12</f>
        <v>15000</v>
      </c>
      <c r="S14" s="15" t="n">
        <f aca="false">$Y14/12</f>
        <v>15000</v>
      </c>
      <c r="T14" s="15" t="n">
        <f aca="false">$Y14/12</f>
        <v>15000</v>
      </c>
      <c r="U14" s="15" t="n">
        <f aca="false">$Y14/12</f>
        <v>15000</v>
      </c>
      <c r="V14" s="15" t="n">
        <f aca="false">$Y14/12</f>
        <v>15000</v>
      </c>
      <c r="W14" s="15" t="n">
        <f aca="false">$Y14/12</f>
        <v>15000</v>
      </c>
      <c r="X14" s="15" t="n">
        <f aca="false">$Y14/12</f>
        <v>15000</v>
      </c>
      <c r="Y14" s="17" t="n">
        <v>180000</v>
      </c>
    </row>
    <row r="15" customFormat="false" ht="31.5" hidden="false" customHeight="true" outlineLevel="0" collapsed="false">
      <c r="C15" s="7" t="n">
        <v>7</v>
      </c>
      <c r="D15" s="8" t="s">
        <v>52</v>
      </c>
      <c r="E15" s="9" t="s">
        <v>53</v>
      </c>
      <c r="F15" s="10" t="s">
        <v>45</v>
      </c>
      <c r="G15" s="11" t="str">
        <f aca="false">IF(F15="Expat","Yes","No")</f>
        <v>No</v>
      </c>
      <c r="H15" s="10" t="s">
        <v>29</v>
      </c>
      <c r="I15" s="12" t="str">
        <f aca="false">IF(F15="Repatriate","Local — Venezuela",F15)</f>
        <v>Local</v>
      </c>
      <c r="J15" s="13" t="s">
        <v>41</v>
      </c>
      <c r="K15" s="10" t="s">
        <v>31</v>
      </c>
      <c r="L15" s="8" t="s">
        <v>54</v>
      </c>
      <c r="M15" s="15" t="n">
        <f aca="false">$Y15/12</f>
        <v>4000</v>
      </c>
      <c r="N15" s="15" t="n">
        <f aca="false">$Y15/12</f>
        <v>4000</v>
      </c>
      <c r="O15" s="15" t="n">
        <f aca="false">$Y15/12</f>
        <v>4000</v>
      </c>
      <c r="P15" s="15" t="n">
        <f aca="false">$Y15/12</f>
        <v>4000</v>
      </c>
      <c r="Q15" s="15" t="n">
        <f aca="false">$Y15/12</f>
        <v>4000</v>
      </c>
      <c r="R15" s="15" t="n">
        <f aca="false">$Y15/12</f>
        <v>4000</v>
      </c>
      <c r="S15" s="15" t="n">
        <f aca="false">$Y15/12</f>
        <v>4000</v>
      </c>
      <c r="T15" s="15" t="n">
        <f aca="false">$Y15/12</f>
        <v>4000</v>
      </c>
      <c r="U15" s="15" t="n">
        <f aca="false">$Y15/12</f>
        <v>4000</v>
      </c>
      <c r="V15" s="15" t="n">
        <f aca="false">$Y15/12</f>
        <v>4000</v>
      </c>
      <c r="W15" s="15" t="n">
        <f aca="false">$Y15/12</f>
        <v>4000</v>
      </c>
      <c r="X15" s="15" t="n">
        <f aca="false">$Y15/12</f>
        <v>4000</v>
      </c>
      <c r="Y15" s="17" t="n">
        <v>48000</v>
      </c>
    </row>
    <row r="16" customFormat="false" ht="31.5" hidden="false" customHeight="true" outlineLevel="0" collapsed="false">
      <c r="C16" s="7" t="n">
        <v>8</v>
      </c>
      <c r="D16" s="8" t="s">
        <v>55</v>
      </c>
      <c r="E16" s="9" t="s">
        <v>56</v>
      </c>
      <c r="F16" s="10" t="s">
        <v>57</v>
      </c>
      <c r="G16" s="11" t="str">
        <f aca="false">IF(F16="Expat","Yes","No")</f>
        <v>No</v>
      </c>
      <c r="H16" s="10" t="s">
        <v>57</v>
      </c>
      <c r="I16" s="12" t="str">
        <f aca="false">IF(F16="Repatriate","Local — Venezuela",F16)</f>
        <v>TBD</v>
      </c>
      <c r="J16" s="13" t="s">
        <v>41</v>
      </c>
      <c r="K16" s="10" t="s">
        <v>46</v>
      </c>
      <c r="L16" s="8" t="s">
        <v>58</v>
      </c>
      <c r="M16" s="15" t="n">
        <f aca="false">$Y16/12</f>
        <v>4000</v>
      </c>
      <c r="N16" s="15" t="n">
        <f aca="false">$Y16/12</f>
        <v>4000</v>
      </c>
      <c r="O16" s="15" t="n">
        <f aca="false">$Y16/12</f>
        <v>4000</v>
      </c>
      <c r="P16" s="15" t="n">
        <f aca="false">$Y16/12</f>
        <v>4000</v>
      </c>
      <c r="Q16" s="15" t="n">
        <f aca="false">$Y16/12</f>
        <v>4000</v>
      </c>
      <c r="R16" s="15" t="n">
        <f aca="false">$Y16/12</f>
        <v>4000</v>
      </c>
      <c r="S16" s="15" t="n">
        <f aca="false">$Y16/12</f>
        <v>4000</v>
      </c>
      <c r="T16" s="15" t="n">
        <f aca="false">$Y16/12</f>
        <v>4000</v>
      </c>
      <c r="U16" s="15" t="n">
        <f aca="false">$Y16/12</f>
        <v>4000</v>
      </c>
      <c r="V16" s="15" t="n">
        <f aca="false">$Y16/12</f>
        <v>4000</v>
      </c>
      <c r="W16" s="15" t="n">
        <f aca="false">$Y16/12</f>
        <v>4000</v>
      </c>
      <c r="X16" s="15" t="n">
        <f aca="false">$Y16/12</f>
        <v>4000</v>
      </c>
      <c r="Y16" s="17" t="n">
        <v>48000</v>
      </c>
    </row>
    <row r="17" customFormat="false" ht="15" hidden="false" customHeight="false" outlineLevel="0" collapsed="false">
      <c r="C17" s="18" t="s">
        <v>59</v>
      </c>
      <c r="D17" s="18"/>
      <c r="E17" s="18"/>
      <c r="F17" s="18"/>
      <c r="G17" s="18"/>
      <c r="H17" s="18"/>
      <c r="I17" s="18"/>
      <c r="J17" s="18"/>
      <c r="K17" s="18"/>
      <c r="L17" s="18"/>
      <c r="M17" s="19" t="n">
        <f aca="false">SUM(M9:M16)</f>
        <v>99000</v>
      </c>
      <c r="N17" s="20" t="n">
        <f aca="false">SUM(N9:N16)</f>
        <v>99000</v>
      </c>
      <c r="O17" s="20" t="n">
        <f aca="false">SUM(O9:O16)</f>
        <v>99000</v>
      </c>
      <c r="P17" s="20" t="n">
        <f aca="false">SUM(P9:P16)</f>
        <v>99000</v>
      </c>
      <c r="Q17" s="20" t="n">
        <f aca="false">SUM(Q9:Q16)</f>
        <v>99000</v>
      </c>
      <c r="R17" s="20" t="n">
        <f aca="false">SUM(R9:R16)</f>
        <v>99000</v>
      </c>
      <c r="S17" s="20" t="n">
        <f aca="false">SUM(S9:S16)</f>
        <v>99000</v>
      </c>
      <c r="T17" s="20" t="n">
        <f aca="false">SUM(T9:T16)</f>
        <v>99000</v>
      </c>
      <c r="U17" s="20" t="n">
        <f aca="false">SUM(U9:U16)</f>
        <v>99000</v>
      </c>
      <c r="V17" s="20" t="n">
        <f aca="false">SUM(V9:V16)</f>
        <v>99000</v>
      </c>
      <c r="W17" s="20" t="n">
        <f aca="false">SUM(W9:W16)</f>
        <v>99000</v>
      </c>
      <c r="X17" s="20" t="n">
        <f aca="false">SUM(X9:X16)</f>
        <v>99000</v>
      </c>
      <c r="Y17" s="19" t="n">
        <f aca="false">SUM(Y9:Y16)</f>
        <v>1188000</v>
      </c>
    </row>
    <row r="20" customFormat="false" ht="15" hidden="false" customHeight="false" outlineLevel="0" collapsed="false">
      <c r="C20" s="21" t="s">
        <v>60</v>
      </c>
      <c r="D20" s="21"/>
      <c r="E20" s="21"/>
      <c r="F20" s="21"/>
      <c r="G20" s="21"/>
      <c r="H20" s="21"/>
      <c r="I20" s="21"/>
      <c r="J20" s="21"/>
      <c r="K20" s="21"/>
      <c r="L20" s="21"/>
      <c r="M20" s="21"/>
      <c r="N20" s="21"/>
      <c r="O20" s="21"/>
      <c r="P20" s="21"/>
      <c r="Q20" s="21"/>
      <c r="R20" s="21"/>
      <c r="S20" s="21"/>
      <c r="T20" s="21"/>
      <c r="U20" s="21"/>
      <c r="V20" s="21"/>
      <c r="W20" s="21"/>
      <c r="X20" s="21"/>
      <c r="Y20" s="21"/>
    </row>
    <row r="21" customFormat="false" ht="33.75" hidden="false" customHeight="true" outlineLevel="0" collapsed="false">
      <c r="C21" s="4" t="s">
        <v>61</v>
      </c>
      <c r="D21" s="5" t="s">
        <v>62</v>
      </c>
      <c r="E21" s="6" t="s">
        <v>63</v>
      </c>
    </row>
    <row r="22" customFormat="false" ht="15" hidden="false" customHeight="false" outlineLevel="0" collapsed="false">
      <c r="C22" s="22" t="s">
        <v>40</v>
      </c>
      <c r="D22" s="23" t="n">
        <f aca="false">COUNTIF(F9:F16,"Expat")</f>
        <v>2</v>
      </c>
      <c r="E22" s="24" t="s">
        <v>64</v>
      </c>
    </row>
    <row r="23" customFormat="false" ht="15" hidden="false" customHeight="false" outlineLevel="0" collapsed="false">
      <c r="C23" s="22" t="s">
        <v>28</v>
      </c>
      <c r="D23" s="23" t="n">
        <f aca="false">COUNTIF(F9:F16,"Repatriate")</f>
        <v>3</v>
      </c>
      <c r="E23" s="24" t="s">
        <v>65</v>
      </c>
    </row>
    <row r="24" customFormat="false" ht="15" hidden="false" customHeight="false" outlineLevel="0" collapsed="false">
      <c r="C24" s="22" t="s">
        <v>45</v>
      </c>
      <c r="D24" s="23" t="n">
        <f aca="false">COUNTIF(F9:F16,"Local")</f>
        <v>2</v>
      </c>
      <c r="E24" s="24" t="s">
        <v>66</v>
      </c>
    </row>
    <row r="25" customFormat="false" ht="15" hidden="false" customHeight="false" outlineLevel="0" collapsed="false">
      <c r="C25" s="22" t="s">
        <v>67</v>
      </c>
      <c r="D25" s="23" t="n">
        <f aca="false">COUNTIF(F9:F16,"TBD")</f>
        <v>1</v>
      </c>
      <c r="E25" s="24" t="s">
        <v>68</v>
      </c>
    </row>
    <row r="26" customFormat="false" ht="15" hidden="false" customHeight="false" outlineLevel="0" collapsed="false">
      <c r="C26" s="22" t="s">
        <v>29</v>
      </c>
      <c r="D26" s="23" t="n">
        <f aca="false">COUNTIF(H9:H16,"Fixed")</f>
        <v>6</v>
      </c>
      <c r="E26" s="24" t="s">
        <v>69</v>
      </c>
    </row>
    <row r="27" customFormat="false" ht="15" hidden="false" customHeight="false" outlineLevel="0" collapsed="false">
      <c r="C27" s="22" t="s">
        <v>50</v>
      </c>
      <c r="D27" s="23" t="n">
        <f aca="false">COUNTIF(H9:H16,"Rotation")</f>
        <v>1</v>
      </c>
      <c r="E27" s="24" t="s">
        <v>70</v>
      </c>
    </row>
    <row r="28" customFormat="false" ht="15" hidden="false" customHeight="false" outlineLevel="0" collapsed="false">
      <c r="C28" s="22" t="s">
        <v>71</v>
      </c>
      <c r="D28" s="23" t="n">
        <f aca="false">COUNTIF(H9:H16,"TBD")</f>
        <v>1</v>
      </c>
      <c r="E28" s="24" t="s">
        <v>72</v>
      </c>
    </row>
    <row r="29" customFormat="false" ht="15" hidden="false" customHeight="false" outlineLevel="0" collapsed="false">
      <c r="C29" s="22" t="s">
        <v>73</v>
      </c>
      <c r="D29" s="23" t="n">
        <f aca="false">COUNTIF(J9:J16,"Eligible*")</f>
        <v>3</v>
      </c>
      <c r="E29" s="24" t="s">
        <v>74</v>
      </c>
    </row>
    <row r="30" customFormat="false" ht="15" hidden="false" customHeight="false" outlineLevel="0" collapsed="false">
      <c r="C30" s="22" t="s">
        <v>75</v>
      </c>
      <c r="D30" s="23" t="n">
        <f aca="false">COUNTIF(K9:K16,"Assumption")</f>
        <v>3</v>
      </c>
      <c r="E30" s="24" t="s">
        <v>76</v>
      </c>
    </row>
  </sheetData>
  <mergeCells count="5">
    <mergeCell ref="C3:Y3"/>
    <mergeCell ref="C5:Y5"/>
    <mergeCell ref="C6:Y6"/>
    <mergeCell ref="C17:L17"/>
    <mergeCell ref="C20:Y20"/>
  </mergeCells>
  <conditionalFormatting sqref="K9:K16">
    <cfRule type="expression" priority="2" aboveAverage="0" equalAverage="0" bottom="0" percent="0" rank="0" text="" dxfId="0">
      <formula>K9="Assumption"</formula>
    </cfRule>
  </conditionalFormatting>
  <conditionalFormatting sqref="F9:F16">
    <cfRule type="expression" priority="3" aboveAverage="0" equalAverage="0" bottom="0" percent="0" rank="0" text="" dxfId="0">
      <formula>F9="TBD"</formula>
    </cfRule>
  </conditionalFormatting>
  <conditionalFormatting sqref="H9:H16">
    <cfRule type="expression" priority="4" aboveAverage="0" equalAverage="0" bottom="0" percent="0" rank="0" text="" dxfId="0">
      <formula>H9="TBD"</formula>
    </cfRule>
  </conditionalFormatting>
  <dataValidations count="3">
    <dataValidation allowBlank="false" errorStyle="stop" operator="between" showDropDown="false" showErrorMessage="false" showInputMessage="false" sqref="F9:F16" type="list">
      <formula1>"Expat,Repatriate,Local,TBD"</formula1>
      <formula2>0</formula2>
    </dataValidation>
    <dataValidation allowBlank="false" errorStyle="stop" operator="between" showDropDown="false" showErrorMessage="false" showInputMessage="false" sqref="H9:H16" type="list">
      <formula1>"Fixed,Rotation,TBD"</formula1>
      <formula2>0</formula2>
    </dataValidation>
    <dataValidation allowBlank="false" errorStyle="stop" operator="between" showDropDown="false" showErrorMessage="false" showInputMessage="false" sqref="K9:K16" type="list">
      <formula1>"Confirmed,Assumption"</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Personnel | Page &amp;P of &amp;N</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32"/>
    <col collapsed="false" customWidth="true" hidden="false" outlineLevel="0" max="4" min="4" style="0" width="28"/>
    <col collapsed="false" customWidth="true" hidden="false" outlineLevel="0" max="5" min="5" style="0" width="16"/>
    <col collapsed="false" customWidth="true" hidden="false" outlineLevel="0" max="6" min="6" style="0" width="20"/>
    <col collapsed="false" customWidth="true" hidden="false" outlineLevel="0" max="7" min="7" style="0" width="38"/>
    <col collapsed="false" customWidth="true" hidden="false" outlineLevel="0" max="8" min="8" style="0" width="30"/>
    <col collapsed="false" customWidth="true" hidden="false" outlineLevel="0" max="9" min="9" style="0" width="24"/>
    <col collapsed="false" customWidth="true" hidden="false" outlineLevel="0" max="10" min="10" style="0" width="36"/>
  </cols>
  <sheetData>
    <row r="3" customFormat="false" ht="24.75" hidden="false" customHeight="true" outlineLevel="0" collapsed="false">
      <c r="C3" s="1" t="s">
        <v>77</v>
      </c>
      <c r="D3" s="1"/>
      <c r="E3" s="1"/>
      <c r="F3" s="1"/>
      <c r="G3" s="1"/>
      <c r="H3" s="1"/>
      <c r="I3" s="1"/>
      <c r="J3" s="1"/>
    </row>
    <row r="5" customFormat="false" ht="15" hidden="false" customHeight="false" outlineLevel="0" collapsed="false">
      <c r="C5" s="2" t="s">
        <v>78</v>
      </c>
      <c r="D5" s="2"/>
      <c r="E5" s="2"/>
      <c r="F5" s="2"/>
      <c r="G5" s="2"/>
      <c r="H5" s="2"/>
      <c r="I5" s="2"/>
      <c r="J5" s="2"/>
    </row>
    <row r="6" customFormat="false" ht="15" hidden="false" customHeight="false" outlineLevel="0" collapsed="false">
      <c r="C6" s="3" t="s">
        <v>79</v>
      </c>
      <c r="D6" s="3"/>
      <c r="E6" s="3"/>
      <c r="F6" s="3"/>
      <c r="G6" s="3"/>
      <c r="H6" s="3"/>
      <c r="I6" s="3"/>
      <c r="J6" s="3"/>
    </row>
    <row r="8" customFormat="false" ht="15" hidden="false" customHeight="false" outlineLevel="0" collapsed="false">
      <c r="C8" s="21" t="s">
        <v>80</v>
      </c>
      <c r="D8" s="21"/>
      <c r="E8" s="21"/>
      <c r="F8" s="21"/>
      <c r="G8" s="21"/>
      <c r="H8" s="21"/>
      <c r="I8" s="21"/>
      <c r="J8" s="21"/>
    </row>
    <row r="9" customFormat="false" ht="33.75" hidden="false" customHeight="true" outlineLevel="0" collapsed="false">
      <c r="C9" s="4" t="s">
        <v>81</v>
      </c>
      <c r="D9" s="5" t="s">
        <v>82</v>
      </c>
      <c r="E9" s="5" t="s">
        <v>83</v>
      </c>
      <c r="F9" s="5" t="s">
        <v>84</v>
      </c>
      <c r="G9" s="5" t="s">
        <v>85</v>
      </c>
      <c r="H9" s="6" t="s">
        <v>86</v>
      </c>
    </row>
    <row r="10" customFormat="false" ht="39.75" hidden="false" customHeight="true" outlineLevel="0" collapsed="false">
      <c r="C10" s="25" t="s">
        <v>87</v>
      </c>
      <c r="D10" s="26" t="n">
        <v>0.5</v>
      </c>
      <c r="E10" s="8" t="s">
        <v>19</v>
      </c>
      <c r="F10" s="8" t="s">
        <v>88</v>
      </c>
      <c r="G10" s="8" t="s">
        <v>89</v>
      </c>
      <c r="H10" s="27" t="s">
        <v>90</v>
      </c>
    </row>
    <row r="11" customFormat="false" ht="39.75" hidden="false" customHeight="true" outlineLevel="0" collapsed="false">
      <c r="C11" s="25" t="s">
        <v>91</v>
      </c>
      <c r="D11" s="26" t="n">
        <v>0.5</v>
      </c>
      <c r="E11" s="8" t="s">
        <v>19</v>
      </c>
      <c r="F11" s="8" t="s">
        <v>92</v>
      </c>
      <c r="G11" s="8" t="s">
        <v>93</v>
      </c>
      <c r="H11" s="27" t="s">
        <v>94</v>
      </c>
    </row>
    <row r="12" customFormat="false" ht="39.75" hidden="false" customHeight="true" outlineLevel="0" collapsed="false">
      <c r="C12" s="25" t="s">
        <v>95</v>
      </c>
      <c r="D12" s="26" t="n">
        <v>0.25</v>
      </c>
      <c r="E12" s="8" t="s">
        <v>19</v>
      </c>
      <c r="F12" s="8" t="s">
        <v>96</v>
      </c>
      <c r="G12" s="8" t="s">
        <v>97</v>
      </c>
      <c r="H12" s="27" t="s">
        <v>98</v>
      </c>
    </row>
    <row r="13" customFormat="false" ht="39.75" hidden="false" customHeight="true" outlineLevel="0" collapsed="false">
      <c r="C13" s="25" t="s">
        <v>99</v>
      </c>
      <c r="D13" s="26" t="n">
        <v>0.15</v>
      </c>
      <c r="E13" s="8" t="s">
        <v>19</v>
      </c>
      <c r="F13" s="8" t="s">
        <v>92</v>
      </c>
      <c r="G13" s="8" t="s">
        <v>100</v>
      </c>
      <c r="H13" s="27" t="s">
        <v>101</v>
      </c>
    </row>
    <row r="14" customFormat="false" ht="39.75" hidden="false" customHeight="true" outlineLevel="0" collapsed="false">
      <c r="C14" s="25" t="s">
        <v>102</v>
      </c>
      <c r="D14" s="26" t="n">
        <v>0.1</v>
      </c>
      <c r="E14" s="8" t="s">
        <v>19</v>
      </c>
      <c r="F14" s="8" t="s">
        <v>103</v>
      </c>
      <c r="G14" s="8" t="s">
        <v>104</v>
      </c>
      <c r="H14" s="27" t="s">
        <v>105</v>
      </c>
    </row>
    <row r="15" customFormat="false" ht="15" hidden="false" customHeight="false" outlineLevel="0" collapsed="false">
      <c r="C15" s="28" t="s">
        <v>106</v>
      </c>
      <c r="D15" s="29" t="n">
        <f aca="false">SUM(D10:D14)</f>
        <v>1.5</v>
      </c>
      <c r="E15" s="30"/>
      <c r="F15" s="30"/>
      <c r="G15" s="30"/>
      <c r="H15" s="31"/>
    </row>
    <row r="18" customFormat="false" ht="15" hidden="false" customHeight="false" outlineLevel="0" collapsed="false">
      <c r="C18" s="21" t="s">
        <v>107</v>
      </c>
      <c r="D18" s="21"/>
      <c r="E18" s="21"/>
      <c r="F18" s="21"/>
      <c r="G18" s="21"/>
      <c r="H18" s="21"/>
    </row>
    <row r="19" customFormat="false" ht="33.75" hidden="false" customHeight="true" outlineLevel="0" collapsed="false">
      <c r="C19" s="4" t="s">
        <v>108</v>
      </c>
      <c r="D19" s="6" t="s">
        <v>109</v>
      </c>
    </row>
    <row r="20" customFormat="false" ht="30" hidden="false" customHeight="true" outlineLevel="0" collapsed="false">
      <c r="C20" s="25" t="s">
        <v>110</v>
      </c>
      <c r="D20" s="27" t="s">
        <v>111</v>
      </c>
    </row>
    <row r="21" customFormat="false" ht="30" hidden="false" customHeight="true" outlineLevel="0" collapsed="false">
      <c r="C21" s="25" t="s">
        <v>112</v>
      </c>
      <c r="D21" s="27" t="s">
        <v>113</v>
      </c>
    </row>
    <row r="22" customFormat="false" ht="30" hidden="false" customHeight="true" outlineLevel="0" collapsed="false">
      <c r="C22" s="25" t="s">
        <v>114</v>
      </c>
      <c r="D22" s="27" t="s">
        <v>115</v>
      </c>
    </row>
    <row r="23" customFormat="false" ht="30" hidden="false" customHeight="true" outlineLevel="0" collapsed="false">
      <c r="C23" s="25" t="s">
        <v>116</v>
      </c>
      <c r="D23" s="27" t="s">
        <v>117</v>
      </c>
    </row>
    <row r="24" customFormat="false" ht="30" hidden="false" customHeight="true" outlineLevel="0" collapsed="false">
      <c r="C24" s="25" t="s">
        <v>118</v>
      </c>
      <c r="D24" s="27" t="s">
        <v>119</v>
      </c>
    </row>
    <row r="25" customFormat="false" ht="30" hidden="false" customHeight="true" outlineLevel="0" collapsed="false">
      <c r="C25" s="25" t="s">
        <v>120</v>
      </c>
      <c r="D25" s="27" t="s">
        <v>121</v>
      </c>
    </row>
    <row r="28" customFormat="false" ht="15" hidden="false" customHeight="false" outlineLevel="0" collapsed="false">
      <c r="C28" s="21" t="s">
        <v>122</v>
      </c>
      <c r="D28" s="21"/>
      <c r="E28" s="21"/>
      <c r="F28" s="21"/>
      <c r="G28" s="21"/>
      <c r="H28" s="21"/>
      <c r="I28" s="21"/>
      <c r="J28" s="21"/>
    </row>
    <row r="29" customFormat="false" ht="33.75" hidden="false" customHeight="true" outlineLevel="0" collapsed="false">
      <c r="C29" s="4" t="s">
        <v>5</v>
      </c>
      <c r="D29" s="5" t="s">
        <v>4</v>
      </c>
      <c r="E29" s="5" t="s">
        <v>123</v>
      </c>
      <c r="F29" s="5" t="s">
        <v>124</v>
      </c>
      <c r="G29" s="5" t="s">
        <v>125</v>
      </c>
      <c r="H29" s="5" t="s">
        <v>126</v>
      </c>
      <c r="I29" s="5" t="s">
        <v>127</v>
      </c>
      <c r="J29" s="6" t="s">
        <v>12</v>
      </c>
    </row>
    <row r="30" customFormat="false" ht="33.75" hidden="false" customHeight="true" outlineLevel="0" collapsed="false">
      <c r="C30" s="25" t="s">
        <v>27</v>
      </c>
      <c r="D30" s="8" t="s">
        <v>26</v>
      </c>
      <c r="E30" s="32" t="n">
        <f aca="false">VLOOKUP(C30,Personnel!$E$9:$Y$16,21,FALSE())/12</f>
        <v>18000</v>
      </c>
      <c r="F30" s="33" t="n">
        <f aca="false">$D$15</f>
        <v>1.5</v>
      </c>
      <c r="G30" s="34" t="n">
        <f aca="false">E30*F30</f>
        <v>27000</v>
      </c>
      <c r="H30" s="35" t="str">
        <f aca="false">VLOOKUP(C30,Personnel!$E$9:$I$16,5,FALSE())</f>
        <v>Local — Venezuela</v>
      </c>
      <c r="I30" s="8" t="s">
        <v>128</v>
      </c>
      <c r="J30" s="27" t="s">
        <v>129</v>
      </c>
    </row>
    <row r="31" customFormat="false" ht="33.75" hidden="false" customHeight="true" outlineLevel="0" collapsed="false">
      <c r="C31" s="25" t="s">
        <v>34</v>
      </c>
      <c r="D31" s="8" t="s">
        <v>33</v>
      </c>
      <c r="E31" s="36" t="n">
        <f aca="false">VLOOKUP(C31,Personnel!$E$9:$Y$16,21,FALSE())/12</f>
        <v>15000</v>
      </c>
      <c r="F31" s="33" t="n">
        <f aca="false">$D$15</f>
        <v>1.5</v>
      </c>
      <c r="G31" s="37" t="n">
        <f aca="false">E31*F31</f>
        <v>22500</v>
      </c>
      <c r="H31" s="35" t="str">
        <f aca="false">VLOOKUP(C31,Personnel!$E$9:$I$16,5,FALSE())</f>
        <v>Local — Venezuela</v>
      </c>
      <c r="I31" s="8" t="s">
        <v>128</v>
      </c>
      <c r="J31" s="27" t="s">
        <v>129</v>
      </c>
    </row>
    <row r="32" customFormat="false" ht="33.75" hidden="false" customHeight="true" outlineLevel="0" collapsed="false">
      <c r="C32" s="25" t="s">
        <v>37</v>
      </c>
      <c r="D32" s="8" t="s">
        <v>36</v>
      </c>
      <c r="E32" s="36" t="n">
        <f aca="false">VLOOKUP(C32,Personnel!$E$9:$Y$16,21,FALSE())/12</f>
        <v>18000</v>
      </c>
      <c r="F32" s="33" t="n">
        <f aca="false">$D$15</f>
        <v>1.5</v>
      </c>
      <c r="G32" s="37" t="n">
        <f aca="false">E32*F32</f>
        <v>27000</v>
      </c>
      <c r="H32" s="35" t="str">
        <f aca="false">VLOOKUP(C32,Personnel!$E$9:$I$16,5,FALSE())</f>
        <v>Local — Venezuela</v>
      </c>
      <c r="I32" s="8" t="s">
        <v>128</v>
      </c>
      <c r="J32" s="27" t="s">
        <v>129</v>
      </c>
    </row>
    <row r="33" customFormat="false" ht="15" hidden="false" customHeight="false" outlineLevel="0" collapsed="false">
      <c r="C33" s="28" t="s">
        <v>130</v>
      </c>
      <c r="D33" s="30"/>
      <c r="E33" s="30"/>
      <c r="F33" s="30"/>
      <c r="G33" s="38" t="n">
        <f aca="false">SUM(G30:G32)</f>
        <v>76500</v>
      </c>
      <c r="H33" s="30"/>
      <c r="I33" s="30"/>
      <c r="J33" s="31"/>
    </row>
    <row r="36" customFormat="false" ht="15" hidden="false" customHeight="true" outlineLevel="0" collapsed="false">
      <c r="C36" s="39" t="s">
        <v>131</v>
      </c>
      <c r="D36" s="39"/>
      <c r="E36" s="39"/>
      <c r="F36" s="39"/>
      <c r="G36" s="39"/>
      <c r="H36" s="39"/>
      <c r="I36" s="39"/>
      <c r="J36" s="39"/>
    </row>
    <row r="37" customFormat="false" ht="15" hidden="false" customHeight="false" outlineLevel="0" collapsed="false">
      <c r="C37" s="39"/>
      <c r="D37" s="39"/>
      <c r="E37" s="39"/>
      <c r="F37" s="39"/>
      <c r="G37" s="39"/>
      <c r="H37" s="39"/>
      <c r="I37" s="39"/>
      <c r="J37" s="39"/>
    </row>
    <row r="38" customFormat="false" ht="15" hidden="false" customHeight="false" outlineLevel="0" collapsed="false">
      <c r="C38" s="39"/>
      <c r="D38" s="39"/>
      <c r="E38" s="39"/>
      <c r="F38" s="39"/>
      <c r="G38" s="39"/>
      <c r="H38" s="39"/>
      <c r="I38" s="39"/>
      <c r="J38" s="39"/>
    </row>
  </sheetData>
  <mergeCells count="7">
    <mergeCell ref="C3:J3"/>
    <mergeCell ref="C5:J5"/>
    <mergeCell ref="C6:J6"/>
    <mergeCell ref="C8:J8"/>
    <mergeCell ref="C18:H18"/>
    <mergeCell ref="C28:J28"/>
    <mergeCell ref="C36:J38"/>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Repatriation Package | Page &amp;P of &amp;N</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M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11" min="3" style="0" width="29"/>
    <col collapsed="false" customWidth="true" hidden="false" outlineLevel="0" max="12" min="12" style="0" width="31"/>
    <col collapsed="false" customWidth="true" hidden="false" outlineLevel="0" max="13" min="13" style="0" width="14"/>
  </cols>
  <sheetData>
    <row r="3" customFormat="false" ht="24.75" hidden="false" customHeight="true" outlineLevel="0" collapsed="false">
      <c r="C3" s="1" t="s">
        <v>132</v>
      </c>
      <c r="D3" s="1"/>
      <c r="E3" s="1"/>
      <c r="F3" s="1"/>
      <c r="G3" s="1"/>
      <c r="H3" s="1"/>
      <c r="I3" s="1"/>
      <c r="J3" s="1"/>
      <c r="K3" s="1"/>
      <c r="L3" s="1"/>
      <c r="M3" s="1"/>
    </row>
    <row r="5" customFormat="false" ht="15" hidden="false" customHeight="false" outlineLevel="0" collapsed="false">
      <c r="C5" s="2" t="s">
        <v>133</v>
      </c>
      <c r="D5" s="2"/>
      <c r="E5" s="2"/>
      <c r="F5" s="2"/>
      <c r="G5" s="2"/>
      <c r="H5" s="2"/>
      <c r="I5" s="2"/>
      <c r="J5" s="2"/>
      <c r="K5" s="2"/>
      <c r="L5" s="2"/>
      <c r="M5" s="2"/>
    </row>
    <row r="6" customFormat="false" ht="15" hidden="false" customHeight="false" outlineLevel="0" collapsed="false">
      <c r="C6" s="3" t="s">
        <v>134</v>
      </c>
      <c r="D6" s="3"/>
      <c r="E6" s="3"/>
      <c r="F6" s="3"/>
      <c r="G6" s="3"/>
      <c r="H6" s="3"/>
      <c r="I6" s="3"/>
      <c r="J6" s="3"/>
      <c r="K6" s="3"/>
      <c r="L6" s="3"/>
      <c r="M6" s="3"/>
    </row>
    <row r="8" customFormat="false" ht="33.75" hidden="false" customHeight="true" outlineLevel="0" collapsed="false">
      <c r="C8" s="4" t="s">
        <v>6</v>
      </c>
      <c r="D8" s="5" t="s">
        <v>135</v>
      </c>
      <c r="E8" s="5" t="s">
        <v>9</v>
      </c>
      <c r="F8" s="5" t="s">
        <v>136</v>
      </c>
      <c r="G8" s="5" t="s">
        <v>137</v>
      </c>
      <c r="H8" s="5" t="s">
        <v>138</v>
      </c>
      <c r="I8" s="5" t="s">
        <v>139</v>
      </c>
      <c r="J8" s="5" t="s">
        <v>10</v>
      </c>
      <c r="K8" s="5" t="s">
        <v>140</v>
      </c>
      <c r="L8" s="5" t="s">
        <v>141</v>
      </c>
      <c r="M8" s="6" t="s">
        <v>142</v>
      </c>
    </row>
    <row r="9" customFormat="false" ht="75" hidden="false" customHeight="true" outlineLevel="0" collapsed="false">
      <c r="C9" s="25" t="s">
        <v>40</v>
      </c>
      <c r="D9" s="8" t="s">
        <v>143</v>
      </c>
      <c r="E9" s="8" t="s">
        <v>144</v>
      </c>
      <c r="F9" s="8" t="s">
        <v>145</v>
      </c>
      <c r="G9" s="8" t="s">
        <v>146</v>
      </c>
      <c r="H9" s="8" t="s">
        <v>147</v>
      </c>
      <c r="I9" s="8" t="s">
        <v>148</v>
      </c>
      <c r="J9" s="8" t="s">
        <v>41</v>
      </c>
      <c r="K9" s="8" t="s">
        <v>149</v>
      </c>
      <c r="L9" s="8" t="s">
        <v>150</v>
      </c>
      <c r="M9" s="40" t="n">
        <f aca="false">COUNTIF(Personnel!F9:F16,C9)</f>
        <v>2</v>
      </c>
    </row>
    <row r="10" customFormat="false" ht="75" hidden="false" customHeight="true" outlineLevel="0" collapsed="false">
      <c r="C10" s="25" t="s">
        <v>28</v>
      </c>
      <c r="D10" s="8" t="s">
        <v>143</v>
      </c>
      <c r="E10" s="8" t="s">
        <v>151</v>
      </c>
      <c r="F10" s="8" t="s">
        <v>152</v>
      </c>
      <c r="G10" s="8" t="s">
        <v>153</v>
      </c>
      <c r="H10" s="8" t="s">
        <v>154</v>
      </c>
      <c r="I10" s="8" t="s">
        <v>155</v>
      </c>
      <c r="J10" s="8" t="s">
        <v>156</v>
      </c>
      <c r="K10" s="8" t="s">
        <v>157</v>
      </c>
      <c r="L10" s="8" t="s">
        <v>158</v>
      </c>
      <c r="M10" s="40" t="n">
        <f aca="false">COUNTIF(Personnel!F9:F16,C10)</f>
        <v>3</v>
      </c>
    </row>
    <row r="11" customFormat="false" ht="75" hidden="false" customHeight="true" outlineLevel="0" collapsed="false">
      <c r="C11" s="25" t="s">
        <v>45</v>
      </c>
      <c r="D11" s="8" t="s">
        <v>143</v>
      </c>
      <c r="E11" s="8" t="s">
        <v>159</v>
      </c>
      <c r="F11" s="8" t="s">
        <v>152</v>
      </c>
      <c r="G11" s="8" t="s">
        <v>160</v>
      </c>
      <c r="H11" s="8" t="s">
        <v>154</v>
      </c>
      <c r="I11" s="8" t="s">
        <v>161</v>
      </c>
      <c r="J11" s="8" t="s">
        <v>41</v>
      </c>
      <c r="K11" s="8" t="s">
        <v>149</v>
      </c>
      <c r="L11" s="8" t="s">
        <v>162</v>
      </c>
      <c r="M11" s="40" t="n">
        <f aca="false">COUNTIF(Personnel!F9:F16,C11)</f>
        <v>2</v>
      </c>
    </row>
    <row r="12" customFormat="false" ht="75" hidden="false" customHeight="true" outlineLevel="0" collapsed="false">
      <c r="C12" s="25" t="s">
        <v>57</v>
      </c>
      <c r="D12" s="8" t="s">
        <v>163</v>
      </c>
      <c r="E12" s="8" t="s">
        <v>164</v>
      </c>
      <c r="F12" s="8" t="s">
        <v>164</v>
      </c>
      <c r="G12" s="8" t="s">
        <v>164</v>
      </c>
      <c r="H12" s="8" t="s">
        <v>164</v>
      </c>
      <c r="I12" s="8" t="s">
        <v>164</v>
      </c>
      <c r="J12" s="8" t="s">
        <v>41</v>
      </c>
      <c r="K12" s="8" t="s">
        <v>165</v>
      </c>
      <c r="L12" s="8" t="s">
        <v>166</v>
      </c>
      <c r="M12" s="40" t="n">
        <f aca="false">COUNTIF(Personnel!F9:F16,C12)</f>
        <v>1</v>
      </c>
    </row>
    <row r="14" customFormat="false" ht="15" hidden="false" customHeight="false" outlineLevel="0" collapsed="false">
      <c r="C14" s="21" t="s">
        <v>167</v>
      </c>
      <c r="D14" s="21"/>
      <c r="E14" s="21"/>
      <c r="F14" s="21"/>
      <c r="G14" s="21"/>
      <c r="H14" s="21"/>
      <c r="I14" s="21"/>
      <c r="J14" s="21"/>
      <c r="K14" s="21"/>
      <c r="L14" s="21"/>
      <c r="M14" s="21"/>
    </row>
    <row r="15" customFormat="false" ht="33.75" hidden="false" customHeight="true" outlineLevel="0" collapsed="false">
      <c r="C15" s="4" t="s">
        <v>8</v>
      </c>
      <c r="D15" s="5" t="s">
        <v>168</v>
      </c>
      <c r="E15" s="5" t="s">
        <v>169</v>
      </c>
      <c r="F15" s="5" t="s">
        <v>170</v>
      </c>
      <c r="G15" s="5" t="s">
        <v>171</v>
      </c>
      <c r="H15" s="5" t="s">
        <v>12</v>
      </c>
      <c r="I15" s="6" t="s">
        <v>142</v>
      </c>
    </row>
    <row r="16" customFormat="false" ht="57.75" hidden="false" customHeight="true" outlineLevel="0" collapsed="false">
      <c r="C16" s="25" t="s">
        <v>29</v>
      </c>
      <c r="D16" s="8" t="s">
        <v>172</v>
      </c>
      <c r="E16" s="8" t="s">
        <v>143</v>
      </c>
      <c r="F16" s="8" t="s">
        <v>173</v>
      </c>
      <c r="G16" s="8" t="s">
        <v>174</v>
      </c>
      <c r="H16" s="8" t="s">
        <v>175</v>
      </c>
      <c r="I16" s="40" t="n">
        <f aca="false">COUNTIF(Personnel!H9:H16,C16)</f>
        <v>6</v>
      </c>
    </row>
    <row r="17" customFormat="false" ht="57.75" hidden="false" customHeight="true" outlineLevel="0" collapsed="false">
      <c r="C17" s="25" t="s">
        <v>50</v>
      </c>
      <c r="D17" s="8" t="s">
        <v>176</v>
      </c>
      <c r="E17" s="8" t="s">
        <v>143</v>
      </c>
      <c r="F17" s="8" t="s">
        <v>177</v>
      </c>
      <c r="G17" s="8" t="s">
        <v>178</v>
      </c>
      <c r="H17" s="8" t="s">
        <v>179</v>
      </c>
      <c r="I17" s="40" t="n">
        <f aca="false">COUNTIF(Personnel!H9:H16,C17)</f>
        <v>1</v>
      </c>
    </row>
    <row r="18" customFormat="false" ht="57.75" hidden="false" customHeight="true" outlineLevel="0" collapsed="false">
      <c r="C18" s="25" t="s">
        <v>57</v>
      </c>
      <c r="D18" s="8" t="s">
        <v>180</v>
      </c>
      <c r="E18" s="8" t="s">
        <v>164</v>
      </c>
      <c r="F18" s="8" t="s">
        <v>164</v>
      </c>
      <c r="G18" s="8" t="s">
        <v>164</v>
      </c>
      <c r="H18" s="8" t="s">
        <v>181</v>
      </c>
      <c r="I18" s="40" t="n">
        <f aca="false">COUNTIF(Personnel!H9:H16,C18)</f>
        <v>1</v>
      </c>
    </row>
    <row r="20" customFormat="false" ht="15" hidden="false" customHeight="true" outlineLevel="0" collapsed="false">
      <c r="C20" s="39" t="s">
        <v>182</v>
      </c>
      <c r="D20" s="39"/>
      <c r="E20" s="39"/>
      <c r="F20" s="39"/>
      <c r="G20" s="39"/>
      <c r="H20" s="39"/>
      <c r="I20" s="39"/>
      <c r="J20" s="39"/>
      <c r="K20" s="39"/>
      <c r="L20" s="39"/>
      <c r="M20" s="39"/>
    </row>
    <row r="21" customFormat="false" ht="15" hidden="false" customHeight="false" outlineLevel="0" collapsed="false">
      <c r="C21" s="39"/>
      <c r="D21" s="39"/>
      <c r="E21" s="39"/>
      <c r="F21" s="39"/>
      <c r="G21" s="39"/>
      <c r="H21" s="39"/>
      <c r="I21" s="39"/>
      <c r="J21" s="39"/>
      <c r="K21" s="39"/>
      <c r="L21" s="39"/>
      <c r="M21" s="39"/>
    </row>
    <row r="22" customFormat="false" ht="15" hidden="false" customHeight="false" outlineLevel="0" collapsed="false">
      <c r="C22" s="39"/>
      <c r="D22" s="39"/>
      <c r="E22" s="39"/>
      <c r="F22" s="39"/>
      <c r="G22" s="39"/>
      <c r="H22" s="39"/>
      <c r="I22" s="39"/>
      <c r="J22" s="39"/>
      <c r="K22" s="39"/>
      <c r="L22" s="39"/>
      <c r="M22" s="39"/>
    </row>
    <row r="23" customFormat="false" ht="15" hidden="false" customHeight="false" outlineLevel="0" collapsed="false">
      <c r="C23" s="39"/>
      <c r="D23" s="39"/>
      <c r="E23" s="39"/>
      <c r="F23" s="39"/>
      <c r="G23" s="39"/>
      <c r="H23" s="39"/>
      <c r="I23" s="39"/>
      <c r="J23" s="39"/>
      <c r="K23" s="39"/>
      <c r="L23" s="39"/>
      <c r="M23" s="39"/>
    </row>
  </sheetData>
  <mergeCells count="5">
    <mergeCell ref="C3:M3"/>
    <mergeCell ref="C5:M5"/>
    <mergeCell ref="C6:M6"/>
    <mergeCell ref="C14:M14"/>
    <mergeCell ref="C20:M23"/>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Contract Rules | Page &amp;P of &amp;N</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2026-09-07T20:08:25Z</dcterms:created>
  <dc:creator>openpyxl</dc:creator>
  <dc:description/>
  <dc:language>en-US</dc:language>
  <cp:lastModifiedBy/>
  <dcterms:modified xsi:type="dcterms:W3CDTF">2026-09-07T20:08:25Z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