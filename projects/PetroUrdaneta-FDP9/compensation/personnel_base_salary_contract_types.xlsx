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rsonnel" sheetId="1" state="visible" r:id="rId3"/>
    <sheet name="Contract Rules" sheetId="2" state="visible" r:id="rId4"/>
  </sheets>
  <definedNames>
    <definedName function="false" hidden="false" localSheetId="1" name="_xlnm.Print_Area" vbProcedure="false">'Contract Rules'!$B$2:$M$23</definedName>
    <definedName function="false" hidden="false" localSheetId="0" name="_xlnm.Print_Area" vbProcedure="false">Personnel!$B$2:$Y$28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9"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0"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1"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2"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3"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4"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5"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6" authorId="0">
      <text>
        <r>
          <rPr>
            <sz val="10"/>
            <rFont val="Arial"/>
            <family val="2"/>
          </rPr>
          <t xml:space="preserve">Source: compensation table image pasted_file_yfFQ2v_image.png, provided 7 September 2026; field: row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9"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0"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1"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2"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3"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4"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5"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6" authorId="0">
      <text>
        <r>
          <rPr>
            <sz val="10"/>
            <rFont val="Arial"/>
            <family val="2"/>
          </rPr>
          <t xml:space="preserve">Source: compensation table image pasted_file_yfFQ2v_image.png, provided 7 September 2026; field: Position.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9"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0"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1"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2"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3"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4"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5"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6" authorId="0">
      <text>
        <r>
          <rPr>
            <sz val="10"/>
            <rFont val="Arial"/>
            <family val="2"/>
          </rPr>
          <t xml:space="preserve">Source: compensation table image pasted_file_yfFQ2v_image.png, provided 7 September 2026; field: Person.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F9"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F10"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F11"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F12"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F13"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F14"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F15"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F16" authorId="0">
      <text>
        <r>
          <rPr>
            <sz val="10"/>
            <rFont val="Arial"/>
            <family val="2"/>
          </rPr>
          <t xml:space="preserve">Source: management instructions in this task through 7 September 2026. M1–M6 contract type must be Expat, Repatriate or Local. Edit if management confirms a different classification.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H9"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H10"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H11"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H12"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H13"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H14"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H15"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H16" authorId="0">
      <text>
        <r>
          <rPr>
            <sz val="10"/>
            <rFont val="Arial"/>
            <family val="2"/>
          </rPr>
          <t xml:space="preserve">Source: management instructions in this task through 7 September 2026. Work arrangement must be Fixed or Rotation. Remote is documented in Notes, not treated as a fourth contract 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J9"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J10"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J11"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J12"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J13"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J14"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J15"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J16" authorId="0">
      <text>
        <r>
          <rPr>
            <sz val="10"/>
            <rFont val="Arial"/>
            <family val="2"/>
          </rPr>
          <t xml:space="preserve">Source: management instructions in this task through 7 September 2026. For Repatriates: a single one-time M7 localisation / repatriation bonus. It does not recur and is excluded from M1–M12 base salary. Amount, payroll treatment and any statutory salary impact require Venezuelan legal, tax and HR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9</xdr:row>
                <xdr:rowOff>8</xdr:rowOff>
              </xdr:to>
            </anchor>
          </commentPr>
        </mc:Choice>
        <mc:Fallback/>
      </mc:AlternateContent>
    </comment>
    <comment ref="K9"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K10"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K11"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K12"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K13"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K14"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K15"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K16" authorId="0">
      <text>
        <r>
          <rPr>
            <sz val="10"/>
            <rFont val="Arial"/>
            <family val="2"/>
          </rPr>
          <t xml:space="preserve">Source: management instructions in this task through 7 September 2026. Confirmed means directly established in prior instructions; Assumption remains editable and requires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6</xdr:rowOff>
              </xdr:to>
            </anchor>
          </commentPr>
        </mc:Choice>
        <mc:Fallback/>
      </mc:AlternateContent>
    </comment>
    <comment ref="L9" authorId="0">
      <text>
        <r>
          <rPr>
            <sz val="10"/>
            <rFont val="Arial"/>
            <family val="2"/>
          </rPr>
          <t xml:space="preserve">Source: management instructions in this task through 7 September 2026. Repatriate; transitions to Local — Venezuela from M7 after the one-time transition bonus.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L10" authorId="0">
      <text>
        <r>
          <rPr>
            <sz val="10"/>
            <rFont val="Arial"/>
            <family val="2"/>
          </rPr>
          <t xml:space="preserve">Source: management instructions in this task through 7 September 2026. Repatriate; initially appointed General Manager of PU on secondment; transitions to Local — Venezuela from M7.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L11" authorId="0">
      <text>
        <r>
          <rPr>
            <sz val="10"/>
            <rFont val="Arial"/>
            <family val="2"/>
          </rPr>
          <t xml:space="preserve">Source: management instructions in this task through 7 September 2026. Repatriate; transitions to Local — Venezuela from M7 after the one-time transition bonus.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L12" authorId="0">
      <text>
        <r>
          <rPr>
            <sz val="10"/>
            <rFont val="Arial"/>
            <family val="2"/>
          </rPr>
          <t xml:space="preserve">Source: management instructions in this task through 7 September 2026. Expat; initially appointed Technical Manager of PU on secondment.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xdr:rowOff>
              </xdr:to>
            </anchor>
          </commentPr>
        </mc:Choice>
        <mc:Fallback/>
      </mc:AlternateContent>
    </comment>
    <comment ref="L13" authorId="0">
      <text>
        <r>
          <rPr>
            <sz val="10"/>
            <rFont val="Arial"/>
            <family val="2"/>
          </rPr>
          <t xml:space="preserve">Source: management instructions in this task through 7 September 2026. Remote role. Local / Fixed is an editable assumption pending confirmation.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xdr:rowOff>
              </xdr:to>
            </anchor>
          </commentPr>
        </mc:Choice>
        <mc:Fallback/>
      </mc:AlternateContent>
    </comment>
    <comment ref="L14" authorId="0">
      <text>
        <r>
          <rPr>
            <sz val="10"/>
            <rFont val="Arial"/>
            <family val="2"/>
          </rPr>
          <t xml:space="preserve">Source: management instructions in this task through 7 September 2026. Rotation confirmed from prior instructions; Expat contract is an editable assumption.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L15" authorId="0">
      <text>
        <r>
          <rPr>
            <sz val="10"/>
            <rFont val="Arial"/>
            <family val="2"/>
          </rPr>
          <t xml:space="preserve">Source: management instructions in this task through 7 September 2026. Local in Maracaibo or staff house; no cash housing allowance by default.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L16" authorId="0">
      <text>
        <r>
          <rPr>
            <sz val="10"/>
            <rFont val="Arial"/>
            <family val="2"/>
          </rPr>
          <t xml:space="preserve">Source: management instructions in this task through 7 September 2026. Local in Maracaibo or staff house; no cash housing allowance by default.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Y9"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Y10"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Y11"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Y12"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Y13"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Y14"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Y15"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Y16" authorId="0">
      <text>
        <r>
          <rPr>
            <sz val="10"/>
            <rFont val="Arial"/>
            <family val="2"/>
          </rPr>
          <t xml:space="preserve">Source: compensation table image pasted_file_yfFQ2v_image.png, provided 7 September 2026; field: Base Salary (Annual).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9" authorId="0">
      <text>
        <r>
          <rPr>
            <sz val="10"/>
            <rFont val="Arial"/>
            <family val="2"/>
          </rPr>
          <t xml:space="preserve">Source: management instructions in this task through 7 September 2026. Default contract rule: Expat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3</xdr:row>
                <xdr:rowOff>11</xdr:rowOff>
              </xdr:to>
            </anchor>
          </commentPr>
        </mc:Choice>
        <mc:Fallback/>
      </mc:AlternateContent>
    </comment>
    <comment ref="C10" authorId="0">
      <text>
        <r>
          <rPr>
            <sz val="10"/>
            <rFont val="Arial"/>
            <family val="2"/>
          </rPr>
          <t xml:space="preserve">Source: management instructions in this task through 7 September 2026. Default contract rule: Repatriate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3</xdr:row>
                <xdr:rowOff>11</xdr:rowOff>
              </xdr:to>
            </anchor>
          </commentPr>
        </mc:Choice>
        <mc:Fallback/>
      </mc:AlternateContent>
    </comment>
    <comment ref="C11" authorId="0">
      <text>
        <r>
          <rPr>
            <sz val="10"/>
            <rFont val="Arial"/>
            <family val="2"/>
          </rPr>
          <t xml:space="preserve">Source: management instructions in this task through 7 September 2026. Default contract rule: Local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3</xdr:row>
                <xdr:rowOff>11</xdr:rowOff>
              </xdr:to>
            </anchor>
          </commentPr>
        </mc:Choice>
        <mc:Fallback/>
      </mc:AlternateContent>
    </comment>
    <comment ref="C16" authorId="0">
      <text>
        <r>
          <rPr>
            <sz val="10"/>
            <rFont val="Arial"/>
            <family val="2"/>
          </rPr>
          <t xml:space="preserve">Source: management instructions in this task through 7 September 2026. Default work-arrangement rule: Fixed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17" authorId="0">
      <text>
        <r>
          <rPr>
            <sz val="10"/>
            <rFont val="Arial"/>
            <family val="2"/>
          </rPr>
          <t xml:space="preserve">Source: management instructions in this task through 7 September 2026. Default work-arrangement rule: Rotation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C20"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Company policy transition does not replace a legal classification or payroll review.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65</xdr:rowOff>
              </xdr:to>
            </anchor>
          </commentPr>
        </mc:Choice>
        <mc:Fallback/>
      </mc:AlternateContent>
    </comment>
    <comment ref="D9" authorId="0">
      <text>
        <r>
          <rPr>
            <sz val="10"/>
            <rFont val="Arial"/>
            <family val="2"/>
          </rPr>
          <t xml:space="preserve">Source: management instructions in this task through 7 September 2026. Default contract rule: Medical insurance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0" authorId="0">
      <text>
        <r>
          <rPr>
            <sz val="10"/>
            <rFont val="Arial"/>
            <family val="2"/>
          </rPr>
          <t xml:space="preserve">Source: management instructions in this task through 7 September 2026. Default contract rule: Medical insurance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1" authorId="0">
      <text>
        <r>
          <rPr>
            <sz val="10"/>
            <rFont val="Arial"/>
            <family val="2"/>
          </rPr>
          <t xml:space="preserve">Source: management instructions in this task through 7 September 2026. Default contract rule: Medical insurance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D16" authorId="0">
      <text>
        <r>
          <rPr>
            <sz val="10"/>
            <rFont val="Arial"/>
            <family val="2"/>
          </rPr>
          <t xml:space="preserve">Source: management instructions in this task through 7 September 2026. Default work-arrangement rule: Continuous assignment to the role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xdr:rowOff>
              </xdr:to>
            </anchor>
          </commentPr>
        </mc:Choice>
        <mc:Fallback/>
      </mc:AlternateContent>
    </comment>
    <comment ref="D17" authorId="0">
      <text>
        <r>
          <rPr>
            <sz val="10"/>
            <rFont val="Arial"/>
            <family val="2"/>
          </rPr>
          <t xml:space="preserve">Source: management instructions in this task through 7 September 2026. Default work-arrangement rule: Roster-based presence in Venezuela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xdr:rowOff>
              </xdr:to>
            </anchor>
          </commentPr>
        </mc:Choice>
        <mc:Fallback/>
      </mc:AlternateContent>
    </comment>
    <comment ref="E9"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E10"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E11"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E16" authorId="0">
      <text>
        <r>
          <rPr>
            <sz val="10"/>
            <rFont val="Arial"/>
            <family val="2"/>
          </rPr>
          <t xml:space="preserve">Source: management instructions in this task through 7 September 2026. Default work-arrangement rule: Medical insurance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E17" authorId="0">
      <text>
        <r>
          <rPr>
            <sz val="10"/>
            <rFont val="Arial"/>
            <family val="2"/>
          </rPr>
          <t xml:space="preserve">Source: management instructions in this task through 7 September 2026. Default work-arrangement rule: Medical insurance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F9" authorId="0">
      <text>
        <r>
          <rPr>
            <sz val="10"/>
            <rFont val="Arial"/>
            <family val="2"/>
          </rPr>
          <t xml:space="preserve">Source: management instructions in this task through 7 September 2026. Default contract rule: Company-provided medical insurance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xdr:rowOff>
              </xdr:to>
            </anchor>
          </commentPr>
        </mc:Choice>
        <mc:Fallback/>
      </mc:AlternateContent>
    </comment>
    <comment ref="F10" authorId="0">
      <text>
        <r>
          <rPr>
            <sz val="10"/>
            <rFont val="Arial"/>
            <family val="2"/>
          </rPr>
          <t xml:space="preserve">Source: management instructions in this task through 7 September 2026. Default contract rule: Medical insurance according to approved local package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F11" authorId="0">
      <text>
        <r>
          <rPr>
            <sz val="10"/>
            <rFont val="Arial"/>
            <family val="2"/>
          </rPr>
          <t xml:space="preserve">Source: management instructions in this task through 7 September 2026. Default contract rule: Medical insurance according to approved local package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F16" authorId="0">
      <text>
        <r>
          <rPr>
            <sz val="10"/>
            <rFont val="Arial"/>
            <family val="2"/>
          </rPr>
          <t xml:space="preserve">Source: management instructions in this task through 7 September 2026. Default work-arrangement rule: Based on contract type, city and approved package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F17" authorId="0">
      <text>
        <r>
          <rPr>
            <sz val="10"/>
            <rFont val="Arial"/>
            <family val="2"/>
          </rPr>
          <t xml:space="preserve">Source: management instructions in this task through 7 September 2026. Default work-arrangement rule: Hotel, staff house or rotational lodging; avoid duplicate permanent housing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G9" authorId="0">
      <text>
        <r>
          <rPr>
            <sz val="10"/>
            <rFont val="Arial"/>
            <family val="2"/>
          </rPr>
          <t xml:space="preserve">Source: management instructions in this task through 7 September 2026. Default contract rule: Housing / allowance only under an approved individual package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G10" authorId="0">
      <text>
        <r>
          <rPr>
            <sz val="10"/>
            <rFont val="Arial"/>
            <family val="2"/>
          </rPr>
          <t xml:space="preserve">Source: management instructions in this task through 7 September 2026. Default contract rule: City-based: local residence, staff house, hotel or allowance only if approved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G11" authorId="0">
      <text>
        <r>
          <rPr>
            <sz val="10"/>
            <rFont val="Arial"/>
            <family val="2"/>
          </rPr>
          <t xml:space="preserve">Source: management instructions in this task through 7 September 2026. Default contract rule: Local residence or staff house; no cash housing allowance by default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G16" authorId="0">
      <text>
        <r>
          <rPr>
            <sz val="10"/>
            <rFont val="Arial"/>
            <family val="2"/>
          </rPr>
          <t xml:space="preserve">Source: management instructions in this task through 7 September 2026. Default work-arrangement rule: According to contract type / local policy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xdr:rowOff>
              </xdr:to>
            </anchor>
          </commentPr>
        </mc:Choice>
        <mc:Fallback/>
      </mc:AlternateContent>
    </comment>
    <comment ref="G17" authorId="0">
      <text>
        <r>
          <rPr>
            <sz val="10"/>
            <rFont val="Arial"/>
            <family val="2"/>
          </rPr>
          <t xml:space="preserve">Source: management instructions in this task through 7 September 2026. Default work-arrangement rule: Rotation roster travel replaces or supplements home leave only if approved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H9"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H10"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H11"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H16" authorId="0">
      <text>
        <r>
          <rPr>
            <sz val="10"/>
            <rFont val="Arial"/>
            <family val="2"/>
          </rPr>
          <t xml:space="preserve">Source: management instructions in this task through 7 September 2026. Default work-arrangement rule: JJI is Fixed but Remote; Remote is noted separately.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H17" authorId="0">
      <text>
        <r>
          <rPr>
            <sz val="10"/>
            <rFont val="Arial"/>
            <family val="2"/>
          </rPr>
          <t xml:space="preserve">Source: management instructions in this task through 7 September 2026. Default work-arrangement rule: Marcelo Dantas is currently shown as Rotation.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16</xdr:rowOff>
              </xdr:to>
            </anchor>
          </commentPr>
        </mc:Choice>
        <mc:Fallback/>
      </mc:AlternateContent>
    </comment>
    <comment ref="I9"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I10"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I11"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J9"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J10"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J11" authorId="0">
      <text>
        <r>
          <rPr>
            <sz val="10"/>
            <rFont val="Arial"/>
            <family val="2"/>
          </rPr>
          <t xml:space="preserve">Compliance context: Venezuelan labor rules apply to employment relationships performed in Venezuela regardless of nationality. Source: Embassy of Spain in Caracas, 'Trabajar' (accessed 7 September 2026), summarizing LOTTT. The local payroll and benefit treatment must be reviewed by Venezuelan labor, tax and HR advisers before implementation.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8</xdr:row>
                <xdr:rowOff>80</xdr:rowOff>
              </xdr:to>
            </anchor>
          </commentPr>
        </mc:Choice>
        <mc:Fallback/>
      </mc:AlternateContent>
    </comment>
    <comment ref="K9" authorId="0">
      <text>
        <r>
          <rPr>
            <sz val="10"/>
            <rFont val="Arial"/>
            <family val="2"/>
          </rPr>
          <t xml:space="preserve">Source: management instructions in this task through 7 September 2026. Default contract rule: Provisional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3</xdr:row>
                <xdr:rowOff>11</xdr:rowOff>
              </xdr:to>
            </anchor>
          </commentPr>
        </mc:Choice>
        <mc:Fallback/>
      </mc:AlternateContent>
    </comment>
    <comment ref="K10" authorId="0">
      <text>
        <r>
          <rPr>
            <sz val="10"/>
            <rFont val="Arial"/>
            <family val="2"/>
          </rPr>
          <t xml:space="preserve">Source: management instructions in this task through 7 September 2026. Default contract rule: Confirmed policy direction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4</xdr:row>
                <xdr:rowOff>6</xdr:rowOff>
              </xdr:to>
            </anchor>
          </commentPr>
        </mc:Choice>
        <mc:Fallback/>
      </mc:AlternateContent>
    </comment>
    <comment ref="K11" authorId="0">
      <text>
        <r>
          <rPr>
            <sz val="10"/>
            <rFont val="Arial"/>
            <family val="2"/>
          </rPr>
          <t xml:space="preserve">Source: management instructions in this task through 7 September 2026. Default contract rule: Provisional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3</xdr:row>
                <xdr:rowOff>11</xdr:rowOff>
              </xdr:to>
            </anchor>
          </commentPr>
        </mc:Choice>
        <mc:Fallback/>
      </mc:AlternateContent>
    </comment>
    <comment ref="L9" authorId="0">
      <text>
        <r>
          <rPr>
            <sz val="10"/>
            <rFont val="Arial"/>
            <family val="2"/>
          </rPr>
          <t xml:space="preserve">Source: management instructions in this task through 7 September 2026. Default contract rule: No universal oil-and-gas benefit grid; package must reflect role, location and contract.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6</xdr:row>
                <xdr:rowOff>11</xdr:rowOff>
              </xdr:to>
            </anchor>
          </commentPr>
        </mc:Choice>
        <mc:Fallback/>
      </mc:AlternateContent>
    </comment>
    <comment ref="L10" authorId="0">
      <text>
        <r>
          <rPr>
            <sz val="10"/>
            <rFont val="Arial"/>
            <family val="2"/>
          </rPr>
          <t xml:space="preserve">Source: management instructions in this task through 7 September 2026. Default contract rule: One-time bonus is a transition/localisation support—not an annual incentive. Legal review determines salary and tax treatment.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7</xdr:row>
                <xdr:rowOff>36</xdr:rowOff>
              </xdr:to>
            </anchor>
          </commentPr>
        </mc:Choice>
        <mc:Fallback/>
      </mc:AlternateContent>
    </comment>
    <comment ref="L11" authorId="0">
      <text>
        <r>
          <rPr>
            <sz val="10"/>
            <rFont val="Arial"/>
            <family val="2"/>
          </rPr>
          <t xml:space="preserve">Source: management instructions in this task through 7 September 2026. Default contract rule: No international home leave or expat allowance by default.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55</xdr:colOff>
                <xdr:row>5</xdr:row>
                <xdr:rowOff>1</xdr:rowOff>
              </xdr:to>
            </anchor>
          </commentPr>
        </mc:Choice>
        <mc:Fallback/>
      </mc:AlternateContent>
    </comment>
  </commentList>
</comments>
</file>

<file path=xl/sharedStrings.xml><?xml version="1.0" encoding="utf-8"?>
<sst xmlns="http://schemas.openxmlformats.org/spreadsheetml/2006/main" count="166" uniqueCount="116">
  <si>
    <t xml:space="preserve">Personnel — Monthly Base Salary and Contract Classification</t>
  </si>
  <si>
    <t xml:space="preserve">COO / PU General Manager excluded and treated separately | Repatriates transition to Local — Venezuela from M7 after a one-time transition bonus</t>
  </si>
  <si>
    <t xml:space="preserve">USD | M1–M12 = annual base salary / 12 | One-time transition bonus is not included in monthly base salary | 8 people only</t>
  </si>
  <si>
    <t xml:space="preserve">#</t>
  </si>
  <si>
    <t xml:space="preserve">Position</t>
  </si>
  <si>
    <t xml:space="preserve">Person</t>
  </si>
  <si>
    <t xml:space="preserve">Contract Type M1–M6</t>
  </si>
  <si>
    <t xml:space="preserve">Expatriate?</t>
  </si>
  <si>
    <t xml:space="preserve">Work Arrangement</t>
  </si>
  <si>
    <t xml:space="preserve">M7+ Employment Basis</t>
  </si>
  <si>
    <t xml:space="preserve">One-Time Transition Bonus (M7)</t>
  </si>
  <si>
    <t xml:space="preserve">Classification Status</t>
  </si>
  <si>
    <t xml:space="preserve">Notes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</si>
  <si>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</si>
  <si>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</si>
  <si>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</si>
  <si>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</si>
  <si>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</si>
  <si>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</si>
  <si>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</si>
  <si>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</si>
  <si>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</si>
  <si>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</si>
  <si>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</si>
  <si>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</si>
  <si>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Base Salary Annual</t>
  </si>
  <si>
    <t xml:space="preserve">EPCM &amp; Engineering Manager</t>
  </si>
  <si>
    <t xml:space="preserve">Juan Conde</t>
  </si>
  <si>
    <t xml:space="preserve">Repatriate</t>
  </si>
  <si>
    <t xml:space="preserve">Fixed</t>
  </si>
  <si>
    <t xml:space="preserve">Eligible — one-time; amount TBD</t>
  </si>
  <si>
    <t xml:space="preserve">Confirmed</t>
  </si>
  <si>
    <t xml:space="preserve">Repatriate; transitions to Local — Venezuela from M7 after the one-time transition bonus.</t>
  </si>
  <si>
    <t xml:space="preserve">Drilling &amp; Well Services Manager</t>
  </si>
  <si>
    <t xml:space="preserve">Alexander Stulme</t>
  </si>
  <si>
    <t xml:space="preserve">Repatriate; initially appointed General Manager of PU on secondment; transitions to Local — Venezuela from M7.</t>
  </si>
  <si>
    <t xml:space="preserve">Operations &amp; Maintenance Manager</t>
  </si>
  <si>
    <t xml:space="preserve">Félix Valderrama</t>
  </si>
  <si>
    <t xml:space="preserve">Technical Manager (Geosciences)</t>
  </si>
  <si>
    <t xml:space="preserve">Alan McKeon</t>
  </si>
  <si>
    <t xml:space="preserve">Expat</t>
  </si>
  <si>
    <t xml:space="preserve">Not applicable</t>
  </si>
  <si>
    <t xml:space="preserve">Expat; initially appointed Technical Manager of PU on secondment.</t>
  </si>
  <si>
    <t xml:space="preserve">Reservoir Engineer</t>
  </si>
  <si>
    <t xml:space="preserve">JJI</t>
  </si>
  <si>
    <t xml:space="preserve">Local</t>
  </si>
  <si>
    <t xml:space="preserve">Assumption</t>
  </si>
  <si>
    <t xml:space="preserve">Remote role. Local / Fixed is an editable assumption pending confirmation.</t>
  </si>
  <si>
    <t xml:space="preserve">Rig Company Man</t>
  </si>
  <si>
    <t xml:space="preserve">Marcelo Dantas</t>
  </si>
  <si>
    <t xml:space="preserve">Rotation</t>
  </si>
  <si>
    <t xml:space="preserve">Rotation confirmed from prior instructions; Expat contract is an editable assumption.</t>
  </si>
  <si>
    <t xml:space="preserve">Planning &amp; PMO</t>
  </si>
  <si>
    <t xml:space="preserve">Jose Miguel</t>
  </si>
  <si>
    <t xml:space="preserve">Local in Maracaibo or staff house; no cash housing allowance by default.</t>
  </si>
  <si>
    <t xml:space="preserve">Operations Support</t>
  </si>
  <si>
    <t xml:space="preserve">Leticia Almeida</t>
  </si>
  <si>
    <t xml:space="preserve">TOTAL — 8 PEOPLE (COO EXCLUDED)</t>
  </si>
  <si>
    <t xml:space="preserve">CLASSIFICATION SUMMARY</t>
  </si>
  <si>
    <t xml:space="preserve">Metric</t>
  </si>
  <si>
    <t xml:space="preserve">Count</t>
  </si>
  <si>
    <t xml:space="preserve">Meaning</t>
  </si>
  <si>
    <t xml:space="preserve">M1–M6 contract type Expat</t>
  </si>
  <si>
    <t xml:space="preserve">Transition to Local — Venezuela from M7</t>
  </si>
  <si>
    <t xml:space="preserve">Local contract from M1 through M12</t>
  </si>
  <si>
    <t xml:space="preserve">Fixed work arrangement</t>
  </si>
  <si>
    <t xml:space="preserve">Rotation work arrangement</t>
  </si>
  <si>
    <t xml:space="preserve">One-time transition bonuses</t>
  </si>
  <si>
    <t xml:space="preserve">M7 bonus only; amount is not yet set</t>
  </si>
  <si>
    <t xml:space="preserve">Assumptions to confirm</t>
  </si>
  <si>
    <t xml:space="preserve">Editable classifications requiring confirmation</t>
  </si>
  <si>
    <t xml:space="preserve">Contract and Benefit Rules by Stage</t>
  </si>
  <si>
    <t xml:space="preserve">Default policy view — individual packages may override these rules</t>
  </si>
  <si>
    <t xml:space="preserve">M1–M6 is initial stage | From M7 Repatriates operate as Local — Venezuela | Policy is subject to legal and HR validation</t>
  </si>
  <si>
    <t xml:space="preserve">M1–M6 Benefits</t>
  </si>
  <si>
    <t xml:space="preserve">M7+ Medical</t>
  </si>
  <si>
    <t xml:space="preserve">M7+ Housing</t>
  </si>
  <si>
    <t xml:space="preserve">M7+ Tax Treatment</t>
  </si>
  <si>
    <t xml:space="preserve">M7+ Other Benefits</t>
  </si>
  <si>
    <t xml:space="preserve">Default Status</t>
  </si>
  <si>
    <t xml:space="preserve">Policy Notes</t>
  </si>
  <si>
    <t xml:space="preserve">People Count</t>
  </si>
  <si>
    <t xml:space="preserve">Medical insurance only</t>
  </si>
  <si>
    <t xml:space="preserve">Continues as Expat assignment</t>
  </si>
  <si>
    <t xml:space="preserve">Company-provided medical insurance</t>
  </si>
  <si>
    <t xml:space="preserve">Housing / allowance only under an approved individual package</t>
  </si>
  <si>
    <t xml:space="preserve">Company tax support / equalisation only where contractually approved</t>
  </si>
  <si>
    <t xml:space="preserve">Home leave and company transport only under approved package</t>
  </si>
  <si>
    <t xml:space="preserve">Provisional</t>
  </si>
  <si>
    <t xml:space="preserve">No universal oil-and-gas benefit grid; package must reflect role, location and contract.</t>
  </si>
  <si>
    <t xml:space="preserve">Local — Venezuela from M7; document local payroll / employment basis</t>
  </si>
  <si>
    <t xml:space="preserve">Medical insurance according to approved local package</t>
  </si>
  <si>
    <t xml:space="preserve">City-based: local residence, staff house, hotel or allowance only if approved</t>
  </si>
  <si>
    <t xml:space="preserve">Employee assumes Venezuelan personal tax; apply local payroll and statutory treatment</t>
  </si>
  <si>
    <t xml:space="preserve">Company transport to work; local statutory benefits; any additional benefit requires individual approval</t>
  </si>
  <si>
    <t xml:space="preserve">Eligible once at M7; amount TBD; not recurring; not in monthly base salary</t>
  </si>
  <si>
    <t xml:space="preserve">Confirmed policy direction</t>
  </si>
  <si>
    <t xml:space="preserve">One-time bonus is a transition/localisation support—not an annual incentive. Legal review determines salary and tax treatment.</t>
  </si>
  <si>
    <t xml:space="preserve">Local — Venezuela</t>
  </si>
  <si>
    <t xml:space="preserve">Local residence or staff house; no cash housing allowance by default</t>
  </si>
  <si>
    <t xml:space="preserve">Company transport according to role; local statutory benefits</t>
  </si>
  <si>
    <t xml:space="preserve">No international home leave or expat allowance by default.</t>
  </si>
  <si>
    <t xml:space="preserve">WORK ARRANGEMENT RULES</t>
  </si>
  <si>
    <t xml:space="preserve">Application</t>
  </si>
  <si>
    <t xml:space="preserve">M1–M6</t>
  </si>
  <si>
    <t xml:space="preserve">M7+ Housing / Lodging</t>
  </si>
  <si>
    <t xml:space="preserve">M7+ Travel / Leave</t>
  </si>
  <si>
    <t xml:space="preserve">Continuous assignment to the role</t>
  </si>
  <si>
    <t xml:space="preserve">Based on contract type, city and approved package</t>
  </si>
  <si>
    <t xml:space="preserve">According to contract type / local policy</t>
  </si>
  <si>
    <t xml:space="preserve">JJI is Fixed but Remote; Remote is noted separately.</t>
  </si>
  <si>
    <t xml:space="preserve">Roster-based presence in Venezuela</t>
  </si>
  <si>
    <t xml:space="preserve">Hotel, staff house or rotational lodging; avoid duplicate permanent housing</t>
  </si>
  <si>
    <t xml:space="preserve">Rotation roster travel replaces or supplements home leave only if approved</t>
  </si>
  <si>
    <t xml:space="preserve">Marcelo Dantas is currently shown as Rotation.</t>
  </si>
  <si>
    <t xml:space="preserve">Policy decision recorded: every Repatriate receives only a one-time M7 transition / repatriation bonus and thereafter is treated as Local — Venezuela. This is not a recurring bonus and is excluded from the monthly base salary. The amount, whether it is salary for Venezuelan labor purposes, the payroll / tax / social-security treatment, immigration status, and local statutory benefits must be approved by Venezuelan legal, tax and HR advisers before implementation. Venezuelan rules apply to employment relationships performed in Venezuela, irrespective of nationality.</t>
  </si>
</sst>
</file>

<file path=xl/styles.xml><?xml version="1.0" encoding="utf-8"?>
<styleSheet xmlns="http://schemas.openxmlformats.org/spreadsheetml/2006/main">
  <numFmts count="5">
    <numFmt numFmtId="164" formatCode="General"/>
    <numFmt numFmtId="165" formatCode="General"/>
    <numFmt numFmtId="166" formatCode="\$#,##0.0;[RED]&quot;($&quot;#,##0.0\);\-"/>
    <numFmt numFmtId="167" formatCode="#,##0.0;[RED]\(#,##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000000"/>
      <name val="Arial"/>
      <family val="0"/>
      <charset val="1"/>
    </font>
    <font>
      <i val="true"/>
      <sz val="9"/>
      <color rgb="FF666666"/>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
      <sz val="10"/>
      <name val="Arial"/>
      <family val="2"/>
    </font>
    <font>
      <sz val="10"/>
      <color rgb="FF008000"/>
      <name val="Arial"/>
      <family val="0"/>
      <charset val="1"/>
    </font>
    <font>
      <b val="true"/>
      <sz val="10"/>
      <color rgb="FFC00000"/>
      <name val="Arial"/>
      <family val="0"/>
      <charset val="1"/>
    </font>
  </fonts>
  <fills count="4">
    <fill>
      <patternFill patternType="none"/>
    </fill>
    <fill>
      <patternFill patternType="gray125"/>
    </fill>
    <fill>
      <patternFill patternType="solid">
        <fgColor rgb="FF135B44"/>
        <bgColor rgb="FF333333"/>
      </patternFill>
    </fill>
    <fill>
      <patternFill patternType="solid">
        <fgColor rgb="FFCFE9E0"/>
        <bgColor rgb="FFCCFFFF"/>
      </patternFill>
    </fill>
  </fills>
  <borders count="5">
    <border diagonalUp="false" diagonalDown="false">
      <left/>
      <right/>
      <top/>
      <bottom/>
      <diagonal/>
    </border>
    <border diagonalUp="false" diagonalDown="false">
      <left style="thin">
        <color rgb="FFB7B7B7"/>
      </left>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 diagonalUp="false" diagonalDown="false">
      <left/>
      <right/>
      <top style="medium"/>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6" fontId="9" fillId="0" borderId="2" xfId="0" applyFont="true" applyBorder="true" applyAlignment="true" applyProtection="false">
      <alignment horizontal="right" vertical="center" textRotation="0" wrapText="false" indent="0" shrinkToFit="false"/>
      <protection locked="true" hidden="false"/>
    </xf>
    <xf numFmtId="167" fontId="9" fillId="0" borderId="2" xfId="0" applyFont="true" applyBorder="true" applyAlignment="true" applyProtection="false">
      <alignment horizontal="right" vertical="center" textRotation="0" wrapText="false" indent="0" shrinkToFit="false"/>
      <protection locked="true" hidden="false"/>
    </xf>
    <xf numFmtId="166" fontId="8" fillId="0" borderId="3" xfId="0" applyFont="true" applyBorder="true" applyAlignment="true" applyProtection="false">
      <alignment horizontal="right" vertical="center" textRotation="0" wrapText="false" indent="0" shrinkToFit="false"/>
      <protection locked="true" hidden="false"/>
    </xf>
    <xf numFmtId="167" fontId="8" fillId="0" borderId="3" xfId="0" applyFont="true" applyBorder="true" applyAlignment="true" applyProtection="false">
      <alignment horizontal="right" vertical="center"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6" fontId="9" fillId="0" borderId="4" xfId="0" applyFont="true" applyBorder="true" applyAlignment="true" applyProtection="false">
      <alignment horizontal="right" vertical="center" textRotation="0" wrapText="false" indent="0" shrinkToFit="false"/>
      <protection locked="true" hidden="false"/>
    </xf>
    <xf numFmtId="167" fontId="9" fillId="0" borderId="4" xfId="0" applyFont="true" applyBorder="true" applyAlignment="true" applyProtection="false">
      <alignment horizontal="right" vertical="center" textRotation="0" wrapText="fals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9" fillId="0" borderId="2" xfId="0" applyFont="true" applyBorder="true" applyAlignment="false" applyProtection="false">
      <alignment horizontal="general" vertical="bottom"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8" fontId="11" fillId="0" borderId="3"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FE9E0"/>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35B4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3:Y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2" ySplit="8" topLeftCell="M9" activePane="bottomRight" state="frozen"/>
      <selection pane="topLeft" activeCell="A1" activeCellId="0" sqref="A1"/>
      <selection pane="topRight" activeCell="M1" activeCellId="0" sqref="M1"/>
      <selection pane="bottomLeft" activeCell="A9" activeCellId="0" sqref="A9"/>
      <selection pane="bottomRight" activeCell="A1" activeCellId="0" sqref="A1"/>
    </sheetView>
  </sheetViews>
  <sheetFormatPr defaultColWidth="8.59765625" defaultRowHeight="15" zeroHeight="false" outlineLevelRow="0" outlineLevelCol="0"/>
  <cols>
    <col collapsed="false" customWidth="true" hidden="false" outlineLevel="0" max="2" min="1" style="0" width="20"/>
    <col collapsed="false" customWidth="true" hidden="false" outlineLevel="0" max="3" min="3" style="0" width="34"/>
    <col collapsed="false" customWidth="true" hidden="false" outlineLevel="0" max="5" min="4" style="0" width="38"/>
    <col collapsed="false" customWidth="true" hidden="false" outlineLevel="0" max="6" min="6" style="0" width="22"/>
    <col collapsed="false" customWidth="true" hidden="false" outlineLevel="0" max="7" min="7" style="0" width="30"/>
    <col collapsed="false" customWidth="true" hidden="false" outlineLevel="0" max="8" min="8" style="0" width="19"/>
    <col collapsed="false" customWidth="true" hidden="false" outlineLevel="0" max="9" min="9" style="0" width="38"/>
    <col collapsed="false" customWidth="true" hidden="false" outlineLevel="0" max="10" min="10" style="0" width="29"/>
    <col collapsed="false" customWidth="true" hidden="false" outlineLevel="0" max="11" min="11" style="0" width="24"/>
    <col collapsed="false" customWidth="true" hidden="false" outlineLevel="0" max="12" min="12" style="0" width="38"/>
    <col collapsed="false" customWidth="true" hidden="false" outlineLevel="0" max="25" min="13" style="0" width="14"/>
  </cols>
  <sheetData>
    <row r="3" customFormat="false" ht="24.75" hidden="false" customHeight="true" outlineLevel="0" collapsed="false">
      <c r="C3" s="1" t="s">
        <v>0</v>
      </c>
      <c r="D3" s="1"/>
      <c r="E3" s="1"/>
      <c r="F3" s="1"/>
      <c r="G3" s="1"/>
      <c r="H3" s="1"/>
      <c r="I3" s="1"/>
      <c r="J3" s="1"/>
      <c r="K3" s="1"/>
      <c r="L3" s="1"/>
      <c r="M3" s="1"/>
      <c r="N3" s="1"/>
      <c r="O3" s="1"/>
      <c r="P3" s="1"/>
      <c r="Q3" s="1"/>
      <c r="R3" s="1"/>
      <c r="S3" s="1"/>
      <c r="T3" s="1"/>
      <c r="U3" s="1"/>
      <c r="V3" s="1"/>
      <c r="W3" s="1"/>
      <c r="X3" s="1"/>
      <c r="Y3" s="1"/>
    </row>
    <row r="5" customFormat="false" ht="15" hidden="false" customHeight="false" outlineLevel="0" collapsed="false">
      <c r="C5" s="2" t="s">
        <v>1</v>
      </c>
      <c r="D5" s="2"/>
      <c r="E5" s="2"/>
      <c r="F5" s="2"/>
      <c r="G5" s="2"/>
      <c r="H5" s="2"/>
      <c r="I5" s="2"/>
      <c r="J5" s="2"/>
      <c r="K5" s="2"/>
      <c r="L5" s="2"/>
      <c r="M5" s="2"/>
      <c r="N5" s="2"/>
      <c r="O5" s="2"/>
      <c r="P5" s="2"/>
      <c r="Q5" s="2"/>
      <c r="R5" s="2"/>
      <c r="S5" s="2"/>
      <c r="T5" s="2"/>
      <c r="U5" s="2"/>
      <c r="V5" s="2"/>
      <c r="W5" s="2"/>
      <c r="X5" s="2"/>
      <c r="Y5" s="2"/>
    </row>
    <row r="6" customFormat="false" ht="15" hidden="false" customHeight="false" outlineLevel="0" collapsed="false">
      <c r="C6" s="3" t="s">
        <v>2</v>
      </c>
      <c r="D6" s="3"/>
      <c r="E6" s="3"/>
      <c r="F6" s="3"/>
      <c r="G6" s="3"/>
      <c r="H6" s="3"/>
      <c r="I6" s="3"/>
      <c r="J6" s="3"/>
      <c r="K6" s="3"/>
      <c r="L6" s="3"/>
      <c r="M6" s="3"/>
      <c r="N6" s="3"/>
      <c r="O6" s="3"/>
      <c r="P6" s="3"/>
      <c r="Q6" s="3"/>
      <c r="R6" s="3"/>
      <c r="S6" s="3"/>
      <c r="T6" s="3"/>
      <c r="U6" s="3"/>
      <c r="V6" s="3"/>
      <c r="W6" s="3"/>
      <c r="X6" s="3"/>
      <c r="Y6" s="3"/>
    </row>
    <row r="8" customFormat="false" ht="33.75" hidden="false" customHeight="true" outlineLevel="0" collapsed="false">
      <c r="C8" s="4" t="s">
        <v>3</v>
      </c>
      <c r="D8" s="5" t="s">
        <v>4</v>
      </c>
      <c r="E8" s="5" t="s">
        <v>5</v>
      </c>
      <c r="F8" s="5" t="s">
        <v>6</v>
      </c>
      <c r="G8" s="5" t="s">
        <v>7</v>
      </c>
      <c r="H8" s="5" t="s">
        <v>8</v>
      </c>
      <c r="I8" s="5" t="s">
        <v>9</v>
      </c>
      <c r="J8" s="5" t="s">
        <v>10</v>
      </c>
      <c r="K8" s="5" t="s">
        <v>11</v>
      </c>
      <c r="L8" s="5" t="s">
        <v>12</v>
      </c>
      <c r="M8" s="5" t="s">
        <v>13</v>
      </c>
      <c r="N8" s="5" t="s">
        <v>14</v>
      </c>
      <c r="O8" s="5" t="s">
        <v>15</v>
      </c>
      <c r="P8" s="5" t="s">
        <v>16</v>
      </c>
      <c r="Q8" s="5" t="s">
        <v>17</v>
      </c>
      <c r="R8" s="5" t="s">
        <v>18</v>
      </c>
      <c r="S8" s="5" t="s">
        <v>19</v>
      </c>
      <c r="T8" s="5" t="s">
        <v>20</v>
      </c>
      <c r="U8" s="5" t="s">
        <v>21</v>
      </c>
      <c r="V8" s="5" t="s">
        <v>22</v>
      </c>
      <c r="W8" s="5" t="s">
        <v>23</v>
      </c>
      <c r="X8" s="5" t="s">
        <v>24</v>
      </c>
      <c r="Y8" s="6" t="s">
        <v>25</v>
      </c>
    </row>
    <row r="9" customFormat="false" ht="31.5" hidden="false" customHeight="true" outlineLevel="0" collapsed="false">
      <c r="C9" s="7" t="n">
        <v>1</v>
      </c>
      <c r="D9" s="8" t="s">
        <v>26</v>
      </c>
      <c r="E9" s="9" t="s">
        <v>27</v>
      </c>
      <c r="F9" s="10" t="s">
        <v>28</v>
      </c>
      <c r="G9" s="11" t="str">
        <f aca="false">IF(F9="Expat","Yes","No")</f>
        <v>No</v>
      </c>
      <c r="H9" s="10" t="s">
        <v>29</v>
      </c>
      <c r="I9" s="12" t="str">
        <f aca="false">IF(F9="Repatriate","Local — Venezuela",F9)</f>
        <v>Local — Venezuela</v>
      </c>
      <c r="J9" s="13" t="s">
        <v>30</v>
      </c>
      <c r="K9" s="10" t="s">
        <v>31</v>
      </c>
      <c r="L9" s="8" t="s">
        <v>32</v>
      </c>
      <c r="M9" s="14" t="n">
        <f aca="false">$Y9/12</f>
        <v>18000</v>
      </c>
      <c r="N9" s="15" t="n">
        <f aca="false">$Y9/12</f>
        <v>18000</v>
      </c>
      <c r="O9" s="15" t="n">
        <f aca="false">$Y9/12</f>
        <v>18000</v>
      </c>
      <c r="P9" s="15" t="n">
        <f aca="false">$Y9/12</f>
        <v>18000</v>
      </c>
      <c r="Q9" s="15" t="n">
        <f aca="false">$Y9/12</f>
        <v>18000</v>
      </c>
      <c r="R9" s="15" t="n">
        <f aca="false">$Y9/12</f>
        <v>18000</v>
      </c>
      <c r="S9" s="15" t="n">
        <f aca="false">$Y9/12</f>
        <v>18000</v>
      </c>
      <c r="T9" s="15" t="n">
        <f aca="false">$Y9/12</f>
        <v>18000</v>
      </c>
      <c r="U9" s="15" t="n">
        <f aca="false">$Y9/12</f>
        <v>18000</v>
      </c>
      <c r="V9" s="15" t="n">
        <f aca="false">$Y9/12</f>
        <v>18000</v>
      </c>
      <c r="W9" s="15" t="n">
        <f aca="false">$Y9/12</f>
        <v>18000</v>
      </c>
      <c r="X9" s="15" t="n">
        <f aca="false">$Y9/12</f>
        <v>18000</v>
      </c>
      <c r="Y9" s="16" t="n">
        <v>216000</v>
      </c>
    </row>
    <row r="10" customFormat="false" ht="31.5" hidden="false" customHeight="true" outlineLevel="0" collapsed="false">
      <c r="C10" s="7" t="n">
        <v>2</v>
      </c>
      <c r="D10" s="8" t="s">
        <v>33</v>
      </c>
      <c r="E10" s="9" t="s">
        <v>34</v>
      </c>
      <c r="F10" s="10" t="s">
        <v>28</v>
      </c>
      <c r="G10" s="11" t="str">
        <f aca="false">IF(F10="Expat","Yes","No")</f>
        <v>No</v>
      </c>
      <c r="H10" s="10" t="s">
        <v>29</v>
      </c>
      <c r="I10" s="12" t="str">
        <f aca="false">IF(F10="Repatriate","Local — Venezuela",F10)</f>
        <v>Local — Venezuela</v>
      </c>
      <c r="J10" s="13" t="s">
        <v>30</v>
      </c>
      <c r="K10" s="10" t="s">
        <v>31</v>
      </c>
      <c r="L10" s="8" t="s">
        <v>35</v>
      </c>
      <c r="M10" s="15" t="n">
        <f aca="false">$Y10/12</f>
        <v>15000</v>
      </c>
      <c r="N10" s="15" t="n">
        <f aca="false">$Y10/12</f>
        <v>15000</v>
      </c>
      <c r="O10" s="15" t="n">
        <f aca="false">$Y10/12</f>
        <v>15000</v>
      </c>
      <c r="P10" s="15" t="n">
        <f aca="false">$Y10/12</f>
        <v>15000</v>
      </c>
      <c r="Q10" s="15" t="n">
        <f aca="false">$Y10/12</f>
        <v>15000</v>
      </c>
      <c r="R10" s="15" t="n">
        <f aca="false">$Y10/12</f>
        <v>15000</v>
      </c>
      <c r="S10" s="15" t="n">
        <f aca="false">$Y10/12</f>
        <v>15000</v>
      </c>
      <c r="T10" s="15" t="n">
        <f aca="false">$Y10/12</f>
        <v>15000</v>
      </c>
      <c r="U10" s="15" t="n">
        <f aca="false">$Y10/12</f>
        <v>15000</v>
      </c>
      <c r="V10" s="15" t="n">
        <f aca="false">$Y10/12</f>
        <v>15000</v>
      </c>
      <c r="W10" s="15" t="n">
        <f aca="false">$Y10/12</f>
        <v>15000</v>
      </c>
      <c r="X10" s="15" t="n">
        <f aca="false">$Y10/12</f>
        <v>15000</v>
      </c>
      <c r="Y10" s="17" t="n">
        <v>180000</v>
      </c>
    </row>
    <row r="11" customFormat="false" ht="31.5" hidden="false" customHeight="true" outlineLevel="0" collapsed="false">
      <c r="C11" s="7" t="n">
        <v>3</v>
      </c>
      <c r="D11" s="8" t="s">
        <v>36</v>
      </c>
      <c r="E11" s="9" t="s">
        <v>37</v>
      </c>
      <c r="F11" s="10" t="s">
        <v>28</v>
      </c>
      <c r="G11" s="11" t="str">
        <f aca="false">IF(F11="Expat","Yes","No")</f>
        <v>No</v>
      </c>
      <c r="H11" s="10" t="s">
        <v>29</v>
      </c>
      <c r="I11" s="12" t="str">
        <f aca="false">IF(F11="Repatriate","Local — Venezuela",F11)</f>
        <v>Local — Venezuela</v>
      </c>
      <c r="J11" s="13" t="s">
        <v>30</v>
      </c>
      <c r="K11" s="10" t="s">
        <v>31</v>
      </c>
      <c r="L11" s="8" t="s">
        <v>32</v>
      </c>
      <c r="M11" s="15" t="n">
        <f aca="false">$Y11/12</f>
        <v>18000</v>
      </c>
      <c r="N11" s="15" t="n">
        <f aca="false">$Y11/12</f>
        <v>18000</v>
      </c>
      <c r="O11" s="15" t="n">
        <f aca="false">$Y11/12</f>
        <v>18000</v>
      </c>
      <c r="P11" s="15" t="n">
        <f aca="false">$Y11/12</f>
        <v>18000</v>
      </c>
      <c r="Q11" s="15" t="n">
        <f aca="false">$Y11/12</f>
        <v>18000</v>
      </c>
      <c r="R11" s="15" t="n">
        <f aca="false">$Y11/12</f>
        <v>18000</v>
      </c>
      <c r="S11" s="15" t="n">
        <f aca="false">$Y11/12</f>
        <v>18000</v>
      </c>
      <c r="T11" s="15" t="n">
        <f aca="false">$Y11/12</f>
        <v>18000</v>
      </c>
      <c r="U11" s="15" t="n">
        <f aca="false">$Y11/12</f>
        <v>18000</v>
      </c>
      <c r="V11" s="15" t="n">
        <f aca="false">$Y11/12</f>
        <v>18000</v>
      </c>
      <c r="W11" s="15" t="n">
        <f aca="false">$Y11/12</f>
        <v>18000</v>
      </c>
      <c r="X11" s="15" t="n">
        <f aca="false">$Y11/12</f>
        <v>18000</v>
      </c>
      <c r="Y11" s="17" t="n">
        <v>216000</v>
      </c>
    </row>
    <row r="12" customFormat="false" ht="31.5" hidden="false" customHeight="true" outlineLevel="0" collapsed="false">
      <c r="C12" s="7" t="n">
        <v>4</v>
      </c>
      <c r="D12" s="8" t="s">
        <v>38</v>
      </c>
      <c r="E12" s="9" t="s">
        <v>39</v>
      </c>
      <c r="F12" s="10" t="s">
        <v>40</v>
      </c>
      <c r="G12" s="11" t="str">
        <f aca="false">IF(F12="Expat","Yes","No")</f>
        <v>Yes</v>
      </c>
      <c r="H12" s="10" t="s">
        <v>29</v>
      </c>
      <c r="I12" s="12" t="str">
        <f aca="false">IF(F12="Repatriate","Local — Venezuela",F12)</f>
        <v>Expat</v>
      </c>
      <c r="J12" s="13" t="s">
        <v>41</v>
      </c>
      <c r="K12" s="10" t="s">
        <v>31</v>
      </c>
      <c r="L12" s="8" t="s">
        <v>42</v>
      </c>
      <c r="M12" s="15" t="n">
        <f aca="false">$Y12/12</f>
        <v>15000</v>
      </c>
      <c r="N12" s="15" t="n">
        <f aca="false">$Y12/12</f>
        <v>15000</v>
      </c>
      <c r="O12" s="15" t="n">
        <f aca="false">$Y12/12</f>
        <v>15000</v>
      </c>
      <c r="P12" s="15" t="n">
        <f aca="false">$Y12/12</f>
        <v>15000</v>
      </c>
      <c r="Q12" s="15" t="n">
        <f aca="false">$Y12/12</f>
        <v>15000</v>
      </c>
      <c r="R12" s="15" t="n">
        <f aca="false">$Y12/12</f>
        <v>15000</v>
      </c>
      <c r="S12" s="15" t="n">
        <f aca="false">$Y12/12</f>
        <v>15000</v>
      </c>
      <c r="T12" s="15" t="n">
        <f aca="false">$Y12/12</f>
        <v>15000</v>
      </c>
      <c r="U12" s="15" t="n">
        <f aca="false">$Y12/12</f>
        <v>15000</v>
      </c>
      <c r="V12" s="15" t="n">
        <f aca="false">$Y12/12</f>
        <v>15000</v>
      </c>
      <c r="W12" s="15" t="n">
        <f aca="false">$Y12/12</f>
        <v>15000</v>
      </c>
      <c r="X12" s="15" t="n">
        <f aca="false">$Y12/12</f>
        <v>15000</v>
      </c>
      <c r="Y12" s="17" t="n">
        <v>180000</v>
      </c>
    </row>
    <row r="13" customFormat="false" ht="31.5" hidden="false" customHeight="true" outlineLevel="0" collapsed="false">
      <c r="C13" s="7" t="n">
        <v>5</v>
      </c>
      <c r="D13" s="8" t="s">
        <v>43</v>
      </c>
      <c r="E13" s="9" t="s">
        <v>44</v>
      </c>
      <c r="F13" s="10" t="s">
        <v>45</v>
      </c>
      <c r="G13" s="11" t="str">
        <f aca="false">IF(F13="Expat","Yes","No")</f>
        <v>No</v>
      </c>
      <c r="H13" s="10" t="s">
        <v>29</v>
      </c>
      <c r="I13" s="12" t="str">
        <f aca="false">IF(F13="Repatriate","Local — Venezuela",F13)</f>
        <v>Local</v>
      </c>
      <c r="J13" s="13" t="s">
        <v>41</v>
      </c>
      <c r="K13" s="10" t="s">
        <v>46</v>
      </c>
      <c r="L13" s="8" t="s">
        <v>47</v>
      </c>
      <c r="M13" s="15" t="n">
        <f aca="false">$Y13/12</f>
        <v>10000</v>
      </c>
      <c r="N13" s="15" t="n">
        <f aca="false">$Y13/12</f>
        <v>10000</v>
      </c>
      <c r="O13" s="15" t="n">
        <f aca="false">$Y13/12</f>
        <v>10000</v>
      </c>
      <c r="P13" s="15" t="n">
        <f aca="false">$Y13/12</f>
        <v>10000</v>
      </c>
      <c r="Q13" s="15" t="n">
        <f aca="false">$Y13/12</f>
        <v>10000</v>
      </c>
      <c r="R13" s="15" t="n">
        <f aca="false">$Y13/12</f>
        <v>10000</v>
      </c>
      <c r="S13" s="15" t="n">
        <f aca="false">$Y13/12</f>
        <v>10000</v>
      </c>
      <c r="T13" s="15" t="n">
        <f aca="false">$Y13/12</f>
        <v>10000</v>
      </c>
      <c r="U13" s="15" t="n">
        <f aca="false">$Y13/12</f>
        <v>10000</v>
      </c>
      <c r="V13" s="15" t="n">
        <f aca="false">$Y13/12</f>
        <v>10000</v>
      </c>
      <c r="W13" s="15" t="n">
        <f aca="false">$Y13/12</f>
        <v>10000</v>
      </c>
      <c r="X13" s="15" t="n">
        <f aca="false">$Y13/12</f>
        <v>10000</v>
      </c>
      <c r="Y13" s="17" t="n">
        <v>120000</v>
      </c>
    </row>
    <row r="14" customFormat="false" ht="31.5" hidden="false" customHeight="true" outlineLevel="0" collapsed="false">
      <c r="C14" s="7" t="n">
        <v>6</v>
      </c>
      <c r="D14" s="8" t="s">
        <v>48</v>
      </c>
      <c r="E14" s="9" t="s">
        <v>49</v>
      </c>
      <c r="F14" s="10" t="s">
        <v>40</v>
      </c>
      <c r="G14" s="11" t="str">
        <f aca="false">IF(F14="Expat","Yes","No")</f>
        <v>Yes</v>
      </c>
      <c r="H14" s="10" t="s">
        <v>50</v>
      </c>
      <c r="I14" s="12" t="str">
        <f aca="false">IF(F14="Repatriate","Local — Venezuela",F14)</f>
        <v>Expat</v>
      </c>
      <c r="J14" s="13" t="s">
        <v>41</v>
      </c>
      <c r="K14" s="10" t="s">
        <v>46</v>
      </c>
      <c r="L14" s="8" t="s">
        <v>51</v>
      </c>
      <c r="M14" s="15" t="n">
        <f aca="false">$Y14/12</f>
        <v>15000</v>
      </c>
      <c r="N14" s="15" t="n">
        <f aca="false">$Y14/12</f>
        <v>15000</v>
      </c>
      <c r="O14" s="15" t="n">
        <f aca="false">$Y14/12</f>
        <v>15000</v>
      </c>
      <c r="P14" s="15" t="n">
        <f aca="false">$Y14/12</f>
        <v>15000</v>
      </c>
      <c r="Q14" s="15" t="n">
        <f aca="false">$Y14/12</f>
        <v>15000</v>
      </c>
      <c r="R14" s="15" t="n">
        <f aca="false">$Y14/12</f>
        <v>15000</v>
      </c>
      <c r="S14" s="15" t="n">
        <f aca="false">$Y14/12</f>
        <v>15000</v>
      </c>
      <c r="T14" s="15" t="n">
        <f aca="false">$Y14/12</f>
        <v>15000</v>
      </c>
      <c r="U14" s="15" t="n">
        <f aca="false">$Y14/12</f>
        <v>15000</v>
      </c>
      <c r="V14" s="15" t="n">
        <f aca="false">$Y14/12</f>
        <v>15000</v>
      </c>
      <c r="W14" s="15" t="n">
        <f aca="false">$Y14/12</f>
        <v>15000</v>
      </c>
      <c r="X14" s="15" t="n">
        <f aca="false">$Y14/12</f>
        <v>15000</v>
      </c>
      <c r="Y14" s="17" t="n">
        <v>180000</v>
      </c>
    </row>
    <row r="15" customFormat="false" ht="31.5" hidden="false" customHeight="true" outlineLevel="0" collapsed="false">
      <c r="C15" s="7" t="n">
        <v>7</v>
      </c>
      <c r="D15" s="8" t="s">
        <v>52</v>
      </c>
      <c r="E15" s="9" t="s">
        <v>53</v>
      </c>
      <c r="F15" s="10" t="s">
        <v>45</v>
      </c>
      <c r="G15" s="11" t="str">
        <f aca="false">IF(F15="Expat","Yes","No")</f>
        <v>No</v>
      </c>
      <c r="H15" s="10" t="s">
        <v>29</v>
      </c>
      <c r="I15" s="12" t="str">
        <f aca="false">IF(F15="Repatriate","Local — Venezuela",F15)</f>
        <v>Local</v>
      </c>
      <c r="J15" s="13" t="s">
        <v>41</v>
      </c>
      <c r="K15" s="10" t="s">
        <v>31</v>
      </c>
      <c r="L15" s="8" t="s">
        <v>54</v>
      </c>
      <c r="M15" s="15" t="n">
        <f aca="false">$Y15/12</f>
        <v>4000</v>
      </c>
      <c r="N15" s="15" t="n">
        <f aca="false">$Y15/12</f>
        <v>4000</v>
      </c>
      <c r="O15" s="15" t="n">
        <f aca="false">$Y15/12</f>
        <v>4000</v>
      </c>
      <c r="P15" s="15" t="n">
        <f aca="false">$Y15/12</f>
        <v>4000</v>
      </c>
      <c r="Q15" s="15" t="n">
        <f aca="false">$Y15/12</f>
        <v>4000</v>
      </c>
      <c r="R15" s="15" t="n">
        <f aca="false">$Y15/12</f>
        <v>4000</v>
      </c>
      <c r="S15" s="15" t="n">
        <f aca="false">$Y15/12</f>
        <v>4000</v>
      </c>
      <c r="T15" s="15" t="n">
        <f aca="false">$Y15/12</f>
        <v>4000</v>
      </c>
      <c r="U15" s="15" t="n">
        <f aca="false">$Y15/12</f>
        <v>4000</v>
      </c>
      <c r="V15" s="15" t="n">
        <f aca="false">$Y15/12</f>
        <v>4000</v>
      </c>
      <c r="W15" s="15" t="n">
        <f aca="false">$Y15/12</f>
        <v>4000</v>
      </c>
      <c r="X15" s="15" t="n">
        <f aca="false">$Y15/12</f>
        <v>4000</v>
      </c>
      <c r="Y15" s="17" t="n">
        <v>48000</v>
      </c>
    </row>
    <row r="16" customFormat="false" ht="31.5" hidden="false" customHeight="true" outlineLevel="0" collapsed="false">
      <c r="C16" s="7" t="n">
        <v>8</v>
      </c>
      <c r="D16" s="8" t="s">
        <v>55</v>
      </c>
      <c r="E16" s="9" t="s">
        <v>56</v>
      </c>
      <c r="F16" s="10" t="s">
        <v>45</v>
      </c>
      <c r="G16" s="11" t="str">
        <f aca="false">IF(F16="Expat","Yes","No")</f>
        <v>No</v>
      </c>
      <c r="H16" s="10" t="s">
        <v>29</v>
      </c>
      <c r="I16" s="12" t="str">
        <f aca="false">IF(F16="Repatriate","Local — Venezuela",F16)</f>
        <v>Local</v>
      </c>
      <c r="J16" s="13" t="s">
        <v>41</v>
      </c>
      <c r="K16" s="10" t="s">
        <v>31</v>
      </c>
      <c r="L16" s="8" t="s">
        <v>54</v>
      </c>
      <c r="M16" s="15" t="n">
        <f aca="false">$Y16/12</f>
        <v>4000</v>
      </c>
      <c r="N16" s="15" t="n">
        <f aca="false">$Y16/12</f>
        <v>4000</v>
      </c>
      <c r="O16" s="15" t="n">
        <f aca="false">$Y16/12</f>
        <v>4000</v>
      </c>
      <c r="P16" s="15" t="n">
        <f aca="false">$Y16/12</f>
        <v>4000</v>
      </c>
      <c r="Q16" s="15" t="n">
        <f aca="false">$Y16/12</f>
        <v>4000</v>
      </c>
      <c r="R16" s="15" t="n">
        <f aca="false">$Y16/12</f>
        <v>4000</v>
      </c>
      <c r="S16" s="15" t="n">
        <f aca="false">$Y16/12</f>
        <v>4000</v>
      </c>
      <c r="T16" s="15" t="n">
        <f aca="false">$Y16/12</f>
        <v>4000</v>
      </c>
      <c r="U16" s="15" t="n">
        <f aca="false">$Y16/12</f>
        <v>4000</v>
      </c>
      <c r="V16" s="15" t="n">
        <f aca="false">$Y16/12</f>
        <v>4000</v>
      </c>
      <c r="W16" s="15" t="n">
        <f aca="false">$Y16/12</f>
        <v>4000</v>
      </c>
      <c r="X16" s="15" t="n">
        <f aca="false">$Y16/12</f>
        <v>4000</v>
      </c>
      <c r="Y16" s="17" t="n">
        <v>48000</v>
      </c>
    </row>
    <row r="17" customFormat="false" ht="15" hidden="false" customHeight="false" outlineLevel="0" collapsed="false">
      <c r="C17" s="18" t="s">
        <v>57</v>
      </c>
      <c r="D17" s="18"/>
      <c r="E17" s="18"/>
      <c r="F17" s="18"/>
      <c r="G17" s="18"/>
      <c r="H17" s="18"/>
      <c r="I17" s="18"/>
      <c r="J17" s="18"/>
      <c r="K17" s="18"/>
      <c r="L17" s="18"/>
      <c r="M17" s="19" t="n">
        <f aca="false">SUM(M9:M16)</f>
        <v>99000</v>
      </c>
      <c r="N17" s="20" t="n">
        <f aca="false">SUM(N9:N16)</f>
        <v>99000</v>
      </c>
      <c r="O17" s="20" t="n">
        <f aca="false">SUM(O9:O16)</f>
        <v>99000</v>
      </c>
      <c r="P17" s="20" t="n">
        <f aca="false">SUM(P9:P16)</f>
        <v>99000</v>
      </c>
      <c r="Q17" s="20" t="n">
        <f aca="false">SUM(Q9:Q16)</f>
        <v>99000</v>
      </c>
      <c r="R17" s="20" t="n">
        <f aca="false">SUM(R9:R16)</f>
        <v>99000</v>
      </c>
      <c r="S17" s="20" t="n">
        <f aca="false">SUM(S9:S16)</f>
        <v>99000</v>
      </c>
      <c r="T17" s="20" t="n">
        <f aca="false">SUM(T9:T16)</f>
        <v>99000</v>
      </c>
      <c r="U17" s="20" t="n">
        <f aca="false">SUM(U9:U16)</f>
        <v>99000</v>
      </c>
      <c r="V17" s="20" t="n">
        <f aca="false">SUM(V9:V16)</f>
        <v>99000</v>
      </c>
      <c r="W17" s="20" t="n">
        <f aca="false">SUM(W9:W16)</f>
        <v>99000</v>
      </c>
      <c r="X17" s="20" t="n">
        <f aca="false">SUM(X9:X16)</f>
        <v>99000</v>
      </c>
      <c r="Y17" s="19" t="n">
        <f aca="false">SUM(Y9:Y16)</f>
        <v>1188000</v>
      </c>
    </row>
    <row r="20" customFormat="false" ht="15" hidden="false" customHeight="false" outlineLevel="0" collapsed="false">
      <c r="C20" s="21" t="s">
        <v>58</v>
      </c>
      <c r="D20" s="21"/>
      <c r="E20" s="21"/>
      <c r="F20" s="21"/>
      <c r="G20" s="21"/>
      <c r="H20" s="21"/>
      <c r="I20" s="21"/>
      <c r="J20" s="21"/>
      <c r="K20" s="21"/>
      <c r="L20" s="21"/>
      <c r="M20" s="21"/>
      <c r="N20" s="21"/>
      <c r="O20" s="21"/>
      <c r="P20" s="21"/>
      <c r="Q20" s="21"/>
      <c r="R20" s="21"/>
      <c r="S20" s="21"/>
      <c r="T20" s="21"/>
      <c r="U20" s="21"/>
      <c r="V20" s="21"/>
      <c r="W20" s="21"/>
      <c r="X20" s="21"/>
      <c r="Y20" s="21"/>
    </row>
    <row r="21" customFormat="false" ht="33.75" hidden="false" customHeight="true" outlineLevel="0" collapsed="false">
      <c r="C21" s="4" t="s">
        <v>59</v>
      </c>
      <c r="D21" s="5" t="s">
        <v>60</v>
      </c>
      <c r="E21" s="6" t="s">
        <v>61</v>
      </c>
    </row>
    <row r="22" customFormat="false" ht="15" hidden="false" customHeight="false" outlineLevel="0" collapsed="false">
      <c r="C22" s="22" t="s">
        <v>40</v>
      </c>
      <c r="D22" s="23" t="n">
        <f aca="false">COUNTIF(F9:F16,"Expat")</f>
        <v>2</v>
      </c>
      <c r="E22" s="24" t="s">
        <v>62</v>
      </c>
    </row>
    <row r="23" customFormat="false" ht="15" hidden="false" customHeight="false" outlineLevel="0" collapsed="false">
      <c r="C23" s="22" t="s">
        <v>28</v>
      </c>
      <c r="D23" s="23" t="n">
        <f aca="false">COUNTIF(F9:F16,"Repatriate")</f>
        <v>3</v>
      </c>
      <c r="E23" s="24" t="s">
        <v>63</v>
      </c>
    </row>
    <row r="24" customFormat="false" ht="15" hidden="false" customHeight="false" outlineLevel="0" collapsed="false">
      <c r="C24" s="22" t="s">
        <v>45</v>
      </c>
      <c r="D24" s="23" t="n">
        <f aca="false">COUNTIF(F9:F16,"Local")</f>
        <v>3</v>
      </c>
      <c r="E24" s="24" t="s">
        <v>64</v>
      </c>
    </row>
    <row r="25" customFormat="false" ht="15" hidden="false" customHeight="false" outlineLevel="0" collapsed="false">
      <c r="C25" s="22" t="s">
        <v>29</v>
      </c>
      <c r="D25" s="23" t="n">
        <f aca="false">COUNTIF(H9:H16,"Fixed")</f>
        <v>7</v>
      </c>
      <c r="E25" s="24" t="s">
        <v>65</v>
      </c>
    </row>
    <row r="26" customFormat="false" ht="15" hidden="false" customHeight="false" outlineLevel="0" collapsed="false">
      <c r="C26" s="22" t="s">
        <v>50</v>
      </c>
      <c r="D26" s="23" t="n">
        <f aca="false">COUNTIF(H9:H16,"Rotation")</f>
        <v>1</v>
      </c>
      <c r="E26" s="24" t="s">
        <v>66</v>
      </c>
    </row>
    <row r="27" customFormat="false" ht="15" hidden="false" customHeight="false" outlineLevel="0" collapsed="false">
      <c r="C27" s="22" t="s">
        <v>67</v>
      </c>
      <c r="D27" s="23" t="n">
        <f aca="false">COUNTIF(J9:J16,"Eligible*")</f>
        <v>3</v>
      </c>
      <c r="E27" s="24" t="s">
        <v>68</v>
      </c>
    </row>
    <row r="28" customFormat="false" ht="15" hidden="false" customHeight="false" outlineLevel="0" collapsed="false">
      <c r="C28" s="22" t="s">
        <v>69</v>
      </c>
      <c r="D28" s="23" t="n">
        <f aca="false">COUNTIF(K9:K16,"Assumption")</f>
        <v>2</v>
      </c>
      <c r="E28" s="24" t="s">
        <v>70</v>
      </c>
    </row>
  </sheetData>
  <mergeCells count="5">
    <mergeCell ref="C3:Y3"/>
    <mergeCell ref="C5:Y5"/>
    <mergeCell ref="C6:Y6"/>
    <mergeCell ref="C17:L17"/>
    <mergeCell ref="C20:Y20"/>
  </mergeCells>
  <conditionalFormatting sqref="K9:K16">
    <cfRule type="expression" priority="2" aboveAverage="0" equalAverage="0" bottom="0" percent="0" rank="0" text="" dxfId="0">
      <formula>K9="Assumption"</formula>
    </cfRule>
  </conditionalFormatting>
  <dataValidations count="3">
    <dataValidation allowBlank="false" errorStyle="stop" operator="between" showDropDown="false" showErrorMessage="false" showInputMessage="false" sqref="F9:F16" type="list">
      <formula1>"Expat,Repatriate,Local"</formula1>
      <formula2>0</formula2>
    </dataValidation>
    <dataValidation allowBlank="false" errorStyle="stop" operator="between" showDropDown="false" showErrorMessage="false" showInputMessage="false" sqref="H9:H16" type="list">
      <formula1>"Fixed,Rotation"</formula1>
      <formula2>0</formula2>
    </dataValidation>
    <dataValidation allowBlank="false" errorStyle="stop" operator="between" showDropDown="false" showErrorMessage="false" showInputMessage="false" sqref="K9:K16" type="list">
      <formula1>"Confirmed,Assumption"</formula1>
      <formula2>0</formula2>
    </dataValidation>
  </dataValidation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Personnel | 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3: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2" min="1" style="0" width="20"/>
    <col collapsed="false" customWidth="true" hidden="false" outlineLevel="0" max="11" min="3" style="0" width="29"/>
    <col collapsed="false" customWidth="true" hidden="false" outlineLevel="0" max="12" min="12" style="0" width="31"/>
    <col collapsed="false" customWidth="true" hidden="false" outlineLevel="0" max="13" min="13" style="0" width="14"/>
  </cols>
  <sheetData>
    <row r="3" customFormat="false" ht="24.75" hidden="false" customHeight="true" outlineLevel="0" collapsed="false">
      <c r="C3" s="1" t="s">
        <v>71</v>
      </c>
      <c r="D3" s="1"/>
      <c r="E3" s="1"/>
      <c r="F3" s="1"/>
      <c r="G3" s="1"/>
      <c r="H3" s="1"/>
      <c r="I3" s="1"/>
      <c r="J3" s="1"/>
      <c r="K3" s="1"/>
      <c r="L3" s="1"/>
      <c r="M3" s="1"/>
    </row>
    <row r="5" customFormat="false" ht="15" hidden="false" customHeight="false" outlineLevel="0" collapsed="false">
      <c r="C5" s="2" t="s">
        <v>72</v>
      </c>
      <c r="D5" s="2"/>
      <c r="E5" s="2"/>
      <c r="F5" s="2"/>
      <c r="G5" s="2"/>
      <c r="H5" s="2"/>
      <c r="I5" s="2"/>
      <c r="J5" s="2"/>
      <c r="K5" s="2"/>
      <c r="L5" s="2"/>
      <c r="M5" s="2"/>
    </row>
    <row r="6" customFormat="false" ht="15" hidden="false" customHeight="false" outlineLevel="0" collapsed="false">
      <c r="C6" s="3" t="s">
        <v>73</v>
      </c>
      <c r="D6" s="3"/>
      <c r="E6" s="3"/>
      <c r="F6" s="3"/>
      <c r="G6" s="3"/>
      <c r="H6" s="3"/>
      <c r="I6" s="3"/>
      <c r="J6" s="3"/>
      <c r="K6" s="3"/>
      <c r="L6" s="3"/>
      <c r="M6" s="3"/>
    </row>
    <row r="8" customFormat="false" ht="33.75" hidden="false" customHeight="true" outlineLevel="0" collapsed="false">
      <c r="C8" s="4" t="s">
        <v>6</v>
      </c>
      <c r="D8" s="5" t="s">
        <v>74</v>
      </c>
      <c r="E8" s="5" t="s">
        <v>9</v>
      </c>
      <c r="F8" s="5" t="s">
        <v>75</v>
      </c>
      <c r="G8" s="5" t="s">
        <v>76</v>
      </c>
      <c r="H8" s="5" t="s">
        <v>77</v>
      </c>
      <c r="I8" s="5" t="s">
        <v>78</v>
      </c>
      <c r="J8" s="5" t="s">
        <v>10</v>
      </c>
      <c r="K8" s="5" t="s">
        <v>79</v>
      </c>
      <c r="L8" s="5" t="s">
        <v>80</v>
      </c>
      <c r="M8" s="6" t="s">
        <v>81</v>
      </c>
    </row>
    <row r="9" customFormat="false" ht="75" hidden="false" customHeight="true" outlineLevel="0" collapsed="false">
      <c r="C9" s="25" t="s">
        <v>40</v>
      </c>
      <c r="D9" s="8" t="s">
        <v>82</v>
      </c>
      <c r="E9" s="8" t="s">
        <v>83</v>
      </c>
      <c r="F9" s="8" t="s">
        <v>84</v>
      </c>
      <c r="G9" s="8" t="s">
        <v>85</v>
      </c>
      <c r="H9" s="8" t="s">
        <v>86</v>
      </c>
      <c r="I9" s="8" t="s">
        <v>87</v>
      </c>
      <c r="J9" s="8" t="s">
        <v>41</v>
      </c>
      <c r="K9" s="8" t="s">
        <v>88</v>
      </c>
      <c r="L9" s="8" t="s">
        <v>89</v>
      </c>
      <c r="M9" s="26" t="n">
        <f aca="false">COUNTIF(Personnel!F9:F16,C9)</f>
        <v>2</v>
      </c>
    </row>
    <row r="10" customFormat="false" ht="75" hidden="false" customHeight="true" outlineLevel="0" collapsed="false">
      <c r="C10" s="25" t="s">
        <v>28</v>
      </c>
      <c r="D10" s="8" t="s">
        <v>82</v>
      </c>
      <c r="E10" s="8" t="s">
        <v>90</v>
      </c>
      <c r="F10" s="8" t="s">
        <v>91</v>
      </c>
      <c r="G10" s="8" t="s">
        <v>92</v>
      </c>
      <c r="H10" s="8" t="s">
        <v>93</v>
      </c>
      <c r="I10" s="8" t="s">
        <v>94</v>
      </c>
      <c r="J10" s="8" t="s">
        <v>95</v>
      </c>
      <c r="K10" s="8" t="s">
        <v>96</v>
      </c>
      <c r="L10" s="8" t="s">
        <v>97</v>
      </c>
      <c r="M10" s="26" t="n">
        <f aca="false">COUNTIF(Personnel!F9:F16,C10)</f>
        <v>3</v>
      </c>
    </row>
    <row r="11" customFormat="false" ht="75" hidden="false" customHeight="true" outlineLevel="0" collapsed="false">
      <c r="C11" s="25" t="s">
        <v>45</v>
      </c>
      <c r="D11" s="8" t="s">
        <v>82</v>
      </c>
      <c r="E11" s="8" t="s">
        <v>98</v>
      </c>
      <c r="F11" s="8" t="s">
        <v>91</v>
      </c>
      <c r="G11" s="8" t="s">
        <v>99</v>
      </c>
      <c r="H11" s="8" t="s">
        <v>93</v>
      </c>
      <c r="I11" s="8" t="s">
        <v>100</v>
      </c>
      <c r="J11" s="8" t="s">
        <v>41</v>
      </c>
      <c r="K11" s="8" t="s">
        <v>88</v>
      </c>
      <c r="L11" s="8" t="s">
        <v>101</v>
      </c>
      <c r="M11" s="26" t="n">
        <f aca="false">COUNTIF(Personnel!F9:F16,C11)</f>
        <v>3</v>
      </c>
    </row>
    <row r="14" customFormat="false" ht="15" hidden="false" customHeight="false" outlineLevel="0" collapsed="false">
      <c r="C14" s="21" t="s">
        <v>102</v>
      </c>
      <c r="D14" s="21"/>
      <c r="E14" s="21"/>
      <c r="F14" s="21"/>
      <c r="G14" s="21"/>
      <c r="H14" s="21"/>
      <c r="I14" s="21"/>
      <c r="J14" s="21"/>
      <c r="K14" s="21"/>
      <c r="L14" s="21"/>
      <c r="M14" s="21"/>
    </row>
    <row r="15" customFormat="false" ht="33.75" hidden="false" customHeight="true" outlineLevel="0" collapsed="false">
      <c r="C15" s="4" t="s">
        <v>8</v>
      </c>
      <c r="D15" s="5" t="s">
        <v>103</v>
      </c>
      <c r="E15" s="5" t="s">
        <v>104</v>
      </c>
      <c r="F15" s="5" t="s">
        <v>105</v>
      </c>
      <c r="G15" s="5" t="s">
        <v>106</v>
      </c>
      <c r="H15" s="5" t="s">
        <v>12</v>
      </c>
      <c r="I15" s="6" t="s">
        <v>81</v>
      </c>
    </row>
    <row r="16" customFormat="false" ht="57.75" hidden="false" customHeight="true" outlineLevel="0" collapsed="false">
      <c r="C16" s="25" t="s">
        <v>29</v>
      </c>
      <c r="D16" s="8" t="s">
        <v>107</v>
      </c>
      <c r="E16" s="8" t="s">
        <v>82</v>
      </c>
      <c r="F16" s="8" t="s">
        <v>108</v>
      </c>
      <c r="G16" s="8" t="s">
        <v>109</v>
      </c>
      <c r="H16" s="8" t="s">
        <v>110</v>
      </c>
      <c r="I16" s="26" t="n">
        <f aca="false">COUNTIF(Personnel!H9:H16,C16)</f>
        <v>7</v>
      </c>
    </row>
    <row r="17" customFormat="false" ht="57.75" hidden="false" customHeight="true" outlineLevel="0" collapsed="false">
      <c r="C17" s="25" t="s">
        <v>50</v>
      </c>
      <c r="D17" s="8" t="s">
        <v>111</v>
      </c>
      <c r="E17" s="8" t="s">
        <v>82</v>
      </c>
      <c r="F17" s="8" t="s">
        <v>112</v>
      </c>
      <c r="G17" s="8" t="s">
        <v>113</v>
      </c>
      <c r="H17" s="8" t="s">
        <v>114</v>
      </c>
      <c r="I17" s="26" t="n">
        <f aca="false">COUNTIF(Personnel!H9:H16,C17)</f>
        <v>1</v>
      </c>
    </row>
    <row r="20" customFormat="false" ht="15" hidden="false" customHeight="true" outlineLevel="0" collapsed="false">
      <c r="C20" s="27" t="s">
        <v>115</v>
      </c>
      <c r="D20" s="27"/>
      <c r="E20" s="27"/>
      <c r="F20" s="27"/>
      <c r="G20" s="27"/>
      <c r="H20" s="27"/>
      <c r="I20" s="27"/>
      <c r="J20" s="27"/>
      <c r="K20" s="27"/>
      <c r="L20" s="27"/>
      <c r="M20" s="27"/>
    </row>
    <row r="21" customFormat="false" ht="15" hidden="false" customHeight="false" outlineLevel="0" collapsed="false">
      <c r="C21" s="27"/>
      <c r="D21" s="27"/>
      <c r="E21" s="27"/>
      <c r="F21" s="27"/>
      <c r="G21" s="27"/>
      <c r="H21" s="27"/>
      <c r="I21" s="27"/>
      <c r="J21" s="27"/>
      <c r="K21" s="27"/>
      <c r="L21" s="27"/>
      <c r="M21" s="27"/>
    </row>
    <row r="22" customFormat="false" ht="15" hidden="false" customHeight="false" outlineLevel="0" collapsed="false">
      <c r="C22" s="27"/>
      <c r="D22" s="27"/>
      <c r="E22" s="27"/>
      <c r="F22" s="27"/>
      <c r="G22" s="27"/>
      <c r="H22" s="27"/>
      <c r="I22" s="27"/>
      <c r="J22" s="27"/>
      <c r="K22" s="27"/>
      <c r="L22" s="27"/>
      <c r="M22" s="27"/>
    </row>
    <row r="23" customFormat="false" ht="15" hidden="false" customHeight="false" outlineLevel="0" collapsed="false">
      <c r="C23" s="27"/>
      <c r="D23" s="27"/>
      <c r="E23" s="27"/>
      <c r="F23" s="27"/>
      <c r="G23" s="27"/>
      <c r="H23" s="27"/>
      <c r="I23" s="27"/>
      <c r="J23" s="27"/>
      <c r="K23" s="27"/>
      <c r="L23" s="27"/>
      <c r="M23" s="27"/>
    </row>
  </sheetData>
  <mergeCells count="5">
    <mergeCell ref="C3:M3"/>
    <mergeCell ref="C5:M5"/>
    <mergeCell ref="C6:M6"/>
    <mergeCell ref="C14:M14"/>
    <mergeCell ref="C20:M23"/>
  </mergeCells>
  <printOptions headings="false" gridLines="false" gridLinesSet="true" horizontalCentered="false" verticalCentered="false"/>
  <pageMargins left="0.75" right="0.75"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Contract Rules |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2026-09-07T19:42:56Z</dcterms:created>
  <dc:creator>openpyxl</dc:creator>
  <dc:description/>
  <dc:language>en-US</dc:language>
  <cp:lastModifiedBy/>
  <dcterms:modified xsi:type="dcterms:W3CDTF">2026-09-07T19:42:56Z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