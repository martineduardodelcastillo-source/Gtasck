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comments2.xml" ContentType="application/vnd.openxmlformats-officedocument.spreadsheetml.comments+xml"/>
  <Override PartName="/xl/_rels/workbook.xml.rels" ContentType="application/vnd.openxmlformats-package.relationship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Personnel" sheetId="1" state="visible" r:id="rId3"/>
    <sheet name="Monthly Costs" sheetId="2" state="visible" r:id="rId4"/>
    <sheet name="Alan Expat Package" sheetId="3" state="visible" r:id="rId5"/>
    <sheet name="Repatriation Package" sheetId="4" state="visible" r:id="rId6"/>
    <sheet name="PU Secondments" sheetId="5" state="visible" r:id="rId7"/>
    <sheet name="Contract Rules" sheetId="6" state="visible" r:id="rId8"/>
  </sheets>
  <definedNames>
    <definedName function="false" hidden="false" localSheetId="2" name="_xlnm.Print_Area" vbProcedure="false">'Alan Expat Package'!$B$2:$I$26</definedName>
    <definedName function="false" hidden="false" localSheetId="5" name="_xlnm.Print_Area" vbProcedure="false">'Contract Rules'!$B$2:$M$23</definedName>
    <definedName function="false" hidden="false" localSheetId="1" name="_xlnm.Print_Area" vbProcedure="false">'Monthly Costs'!$B$2:$AA$32</definedName>
    <definedName function="false" hidden="false" localSheetId="0" name="_xlnm.Print_Area" vbProcedure="false">Personnel!$B$2:$Y$30</definedName>
    <definedName function="false" hidden="false" localSheetId="4" name="_xlnm.Print_Area" vbProcedure="false">'PU Secondments'!$B$2:$S$27</definedName>
    <definedName function="false" hidden="false" localSheetId="3" name="_xlnm.Print_Area" vbProcedure="false">'Repatriation Package'!$B$2:$J$38</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9"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0"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1"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2"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3"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4"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5"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6" authorId="0">
      <text>
        <r>
          <rPr>
            <sz val="10"/>
            <rFont val="Arial"/>
            <family val="2"/>
          </rPr>
          <t xml:space="preserve">Source: compensation table image pasted_file_yfFQ2v_image.png, provided 7 September 2026; field: row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9"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0"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1"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2"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3"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4"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5"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6"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9"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0"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1"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2"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3"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4"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5" authorId="0">
      <text>
        <r>
          <rPr>
            <sz val="10"/>
            <rFont val="Arial"/>
            <family val="2"/>
          </rPr>
          <t xml:space="preserve">Source: compensation table image pasted_file_yfFQ2v_image.png, provided 7 September 2026; field: Person.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6" authorId="0">
      <text>
        <r>
          <rPr>
            <sz val="10"/>
            <rFont val="Arial"/>
            <family val="2"/>
          </rPr>
          <t xml:space="preserve">Source: management instructions in this task through 7 September 2026. Leticia Almeida has been removed. Operations Support is an open position and the person is to be defined.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F9" authorId="0">
      <text>
        <r>
          <rPr>
            <sz val="10"/>
            <rFont val="Arial"/>
            <family val="2"/>
          </rPr>
          <t xml:space="preserve">Source: management instructions in this task through 7 September 2026. M1–M6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F10" authorId="0">
      <text>
        <r>
          <rPr>
            <sz val="10"/>
            <rFont val="Arial"/>
            <family val="2"/>
          </rPr>
          <t xml:space="preserve">Source: management instructions in this task through 7 September 2026. M1–M6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F11" authorId="0">
      <text>
        <r>
          <rPr>
            <sz val="10"/>
            <rFont val="Arial"/>
            <family val="2"/>
          </rPr>
          <t xml:space="preserve">Source: management instructions in this task through 7 September 2026. M1–M6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F12" authorId="0">
      <text>
        <r>
          <rPr>
            <sz val="10"/>
            <rFont val="Arial"/>
            <family val="2"/>
          </rPr>
          <t xml:space="preserve">Source: management instructions in this task through 7 September 2026. M1–M6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F13" authorId="0">
      <text>
        <r>
          <rPr>
            <sz val="10"/>
            <rFont val="Arial"/>
            <family val="2"/>
          </rPr>
          <t xml:space="preserve">Source: management instructions in this task through 7 September 2026. M1–M6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F14" authorId="0">
      <text>
        <r>
          <rPr>
            <sz val="10"/>
            <rFont val="Arial"/>
            <family val="2"/>
          </rPr>
          <t xml:space="preserve">Source: management instructions in this task through 7 September 2026. M1–M6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F15" authorId="0">
      <text>
        <r>
          <rPr>
            <sz val="10"/>
            <rFont val="Arial"/>
            <family val="2"/>
          </rPr>
          <t xml:space="preserve">Source: management instructions in this task through 7 September 2026. M1–M6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F16" authorId="0">
      <text>
        <r>
          <rPr>
            <sz val="10"/>
            <rFont val="Arial"/>
            <family val="2"/>
          </rPr>
          <t xml:space="preserve">Source: management instructions in this task through 7 September 2026. M1–M6 contract type must be Expat, Repatriate or Local. Edit if management confirms a different classification.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H9"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H10"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H11"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H12"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H13"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H14"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H15"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H16" authorId="0">
      <text>
        <r>
          <rPr>
            <sz val="10"/>
            <rFont val="Arial"/>
            <family val="2"/>
          </rPr>
          <t xml:space="preserve">Source: management instructions in this task through 7 September 2026. Work arrangement must be Fixed or Rotation. Remote is documented in Notes, not treated as a fourth contract type.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J9" authorId="0">
      <text>
        <r>
          <rPr>
            <sz val="10"/>
            <rFont val="Arial"/>
            <family val="2"/>
          </rPr>
          <t xml:space="preserve">Source: management instructions in this task through 7 September 2026. For Repatriates: a single one-time M7 localisation / repatriation package. The core package is currently set at 1.50 months of monthly base salary, with components and caps on the Repatriation Package tab. It does not recur and is excluded from M1–M12 base salary. Payroll treatment and any statutory salary impact require Venezuelan legal, tax and HR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11</xdr:row>
                <xdr:rowOff>14</xdr:rowOff>
              </xdr:to>
            </anchor>
          </commentPr>
        </mc:Choice>
        <mc:Fallback/>
      </mc:AlternateContent>
    </comment>
    <comment ref="J10" authorId="0">
      <text>
        <r>
          <rPr>
            <sz val="10"/>
            <rFont val="Arial"/>
            <family val="2"/>
          </rPr>
          <t xml:space="preserve">Source: management instructions in this task through 7 September 2026. For Repatriates: a single one-time M7 localisation / repatriation package. The core package is currently set at 1.50 months of monthly base salary, with components and caps on the Repatriation Package tab. It does not recur and is excluded from M1–M12 base salary. Payroll treatment and any statutory salary impact require Venezuelan legal, tax and HR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11</xdr:row>
                <xdr:rowOff>14</xdr:rowOff>
              </xdr:to>
            </anchor>
          </commentPr>
        </mc:Choice>
        <mc:Fallback/>
      </mc:AlternateContent>
    </comment>
    <comment ref="J11" authorId="0">
      <text>
        <r>
          <rPr>
            <sz val="10"/>
            <rFont val="Arial"/>
            <family val="2"/>
          </rPr>
          <t xml:space="preserve">Source: management instructions in this task through 7 September 2026. For Repatriates: a single one-time M7 localisation / repatriation package. The core package is currently set at 1.50 months of monthly base salary, with components and caps on the Repatriation Package tab. It does not recur and is excluded from M1–M12 base salary. Payroll treatment and any statutory salary impact require Venezuelan legal, tax and HR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11</xdr:row>
                <xdr:rowOff>14</xdr:rowOff>
              </xdr:to>
            </anchor>
          </commentPr>
        </mc:Choice>
        <mc:Fallback/>
      </mc:AlternateContent>
    </comment>
    <comment ref="J12" authorId="0">
      <text>
        <r>
          <rPr>
            <sz val="10"/>
            <rFont val="Arial"/>
            <family val="2"/>
          </rPr>
          <t xml:space="preserve">Source: management instructions in this task through 7 September 2026. For Repatriates: a single one-time M7 localisation / repatriation package. The core package is currently set at 1.50 months of monthly base salary, with components and caps on the Repatriation Package tab. It does not recur and is excluded from M1–M12 base salary. Payroll treatment and any statutory salary impact require Venezuelan legal, tax and HR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11</xdr:row>
                <xdr:rowOff>14</xdr:rowOff>
              </xdr:to>
            </anchor>
          </commentPr>
        </mc:Choice>
        <mc:Fallback/>
      </mc:AlternateContent>
    </comment>
    <comment ref="J13" authorId="0">
      <text>
        <r>
          <rPr>
            <sz val="10"/>
            <rFont val="Arial"/>
            <family val="2"/>
          </rPr>
          <t xml:space="preserve">Source: management instructions in this task through 7 September 2026. For Repatriates: a single one-time M7 localisation / repatriation package. The core package is currently set at 1.50 months of monthly base salary, with components and caps on the Repatriation Package tab. It does not recur and is excluded from M1–M12 base salary. Payroll treatment and any statutory salary impact require Venezuelan legal, tax and HR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11</xdr:row>
                <xdr:rowOff>14</xdr:rowOff>
              </xdr:to>
            </anchor>
          </commentPr>
        </mc:Choice>
        <mc:Fallback/>
      </mc:AlternateContent>
    </comment>
    <comment ref="J14" authorId="0">
      <text>
        <r>
          <rPr>
            <sz val="10"/>
            <rFont val="Arial"/>
            <family val="2"/>
          </rPr>
          <t xml:space="preserve">Source: management instructions in this task through 7 September 2026. For Repatriates: a single one-time M7 localisation / repatriation package. The core package is currently set at 1.50 months of monthly base salary, with components and caps on the Repatriation Package tab. It does not recur and is excluded from M1–M12 base salary. Payroll treatment and any statutory salary impact require Venezuelan legal, tax and HR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11</xdr:row>
                <xdr:rowOff>14</xdr:rowOff>
              </xdr:to>
            </anchor>
          </commentPr>
        </mc:Choice>
        <mc:Fallback/>
      </mc:AlternateContent>
    </comment>
    <comment ref="J15" authorId="0">
      <text>
        <r>
          <rPr>
            <sz val="10"/>
            <rFont val="Arial"/>
            <family val="2"/>
          </rPr>
          <t xml:space="preserve">Source: management instructions in this task through 7 September 2026. For Repatriates: a single one-time M7 localisation / repatriation package. The core package is currently set at 1.50 months of monthly base salary, with components and caps on the Repatriation Package tab. It does not recur and is excluded from M1–M12 base salary. Payroll treatment and any statutory salary impact require Venezuelan legal, tax and HR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11</xdr:row>
                <xdr:rowOff>14</xdr:rowOff>
              </xdr:to>
            </anchor>
          </commentPr>
        </mc:Choice>
        <mc:Fallback/>
      </mc:AlternateContent>
    </comment>
    <comment ref="J16" authorId="0">
      <text>
        <r>
          <rPr>
            <sz val="10"/>
            <rFont val="Arial"/>
            <family val="2"/>
          </rPr>
          <t xml:space="preserve">Source: management instructions in this task through 7 September 2026. For Repatriates: a single one-time M7 localisation / repatriation package. The core package is currently set at 1.50 months of monthly base salary, with components and caps on the Repatriation Package tab. It does not recur and is excluded from M1–M12 base salary. Payroll treatment and any statutory salary impact require Venezuelan legal, tax and HR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11</xdr:row>
                <xdr:rowOff>14</xdr:rowOff>
              </xdr:to>
            </anchor>
          </commentPr>
        </mc:Choice>
        <mc:Fallback/>
      </mc:AlternateContent>
    </comment>
    <comment ref="K9"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0"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1"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2"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3"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4"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5"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6" authorId="0">
      <text>
        <r>
          <rPr>
            <sz val="10"/>
            <rFont val="Arial"/>
            <family val="2"/>
          </rPr>
          <t xml:space="preserve">Source: management instructions in this task through 7 September 2026. Confirmed means directly established in prior instructions; Assumption remains editable and requires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L9" authorId="0">
      <text>
        <r>
          <rPr>
            <sz val="10"/>
            <rFont val="Arial"/>
            <family val="2"/>
          </rPr>
          <t xml:space="preserve">Source: management instructions in this task through 7 September 2026. Repatriate; transitions to Local — Venezuela from M7 after the one-time transition package.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L10" authorId="0">
      <text>
        <r>
          <rPr>
            <sz val="10"/>
            <rFont val="Arial"/>
            <family val="2"/>
          </rPr>
          <t xml:space="preserve">Source: management instructions in this task through 7 September 2026. Repatriate; initially appointed General Manager of PU on secondment; transitions to Local — Venezuela from M7 after the one-time transition package.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L11" authorId="0">
      <text>
        <r>
          <rPr>
            <sz val="10"/>
            <rFont val="Arial"/>
            <family val="2"/>
          </rPr>
          <t xml:space="preserve">Source: management instructions in this task through 7 September 2026. Repatriate; transitions to Local — Venezuela from M7 after the one-time transition package.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L12" authorId="0">
      <text>
        <r>
          <rPr>
            <sz val="10"/>
            <rFont val="Arial"/>
            <family val="2"/>
          </rPr>
          <t xml:space="preserve">Source: management instructions in this task through 7 September 2026. Expat; initially appointed Technical Manager of PU on secondment. From M7: $2,000/month housing allowance and two home leaves.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L13" authorId="0">
      <text>
        <r>
          <rPr>
            <sz val="10"/>
            <rFont val="Arial"/>
            <family val="2"/>
          </rPr>
          <t xml:space="preserve">Source: management instructions in this task through 7 September 2026. Remote role. Local / Fixed is an editable assumption pending confirmation.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L14" authorId="0">
      <text>
        <r>
          <rPr>
            <sz val="10"/>
            <rFont val="Arial"/>
            <family val="2"/>
          </rPr>
          <t xml:space="preserve">Source: management instructions in this task through 7 September 2026. Rotation confirmed from prior instructions; Expat contract is an editable assumption.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L15" authorId="0">
      <text>
        <r>
          <rPr>
            <sz val="10"/>
            <rFont val="Arial"/>
            <family val="2"/>
          </rPr>
          <t xml:space="preserve">Source: management instructions in this task through 7 September 2026. Local in Maracaibo or staff house; no cash housing allowance by default.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L16" authorId="0">
      <text>
        <r>
          <rPr>
            <sz val="10"/>
            <rFont val="Arial"/>
            <family val="2"/>
          </rPr>
          <t xml:space="preserve">Source: management instructions in this task through 7 September 2026. Open position. Person, contract type, work arrangement and benefits are to be defined. Salary remains a budget placeholder from the source table.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Y9"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Y10"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Y11"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Y12"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Y13"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Y14"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Y15"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Y16" authorId="0">
      <text>
        <r>
          <rPr>
            <sz val="10"/>
            <rFont val="Arial"/>
            <family val="2"/>
          </rPr>
          <t xml:space="preserve">Source: compensation table image pasted_file_yfFQ2v_image.png, provided 7 September 2026; field: Base Salary (Annual).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List>
</comments>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9" authorId="0">
      <text>
        <r>
          <rPr>
            <sz val="10"/>
            <rFont val="Arial"/>
            <family val="2"/>
          </rPr>
          <t xml:space="preserve">Source: management instructions in this task through 7 September 2026. Linked by name to the Personnel classification; this cost view excludes the COO.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C10" authorId="0">
      <text>
        <r>
          <rPr>
            <sz val="10"/>
            <rFont val="Arial"/>
            <family val="2"/>
          </rPr>
          <t xml:space="preserve">Source: management instructions in this task through 7 September 2026. Linked by name to the Personnel classification; this cost view excludes the COO.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C11" authorId="0">
      <text>
        <r>
          <rPr>
            <sz val="10"/>
            <rFont val="Arial"/>
            <family val="2"/>
          </rPr>
          <t xml:space="preserve">Source: management instructions in this task through 7 September 2026. Linked by name to the Personnel classification; this cost view excludes the COO.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C12" authorId="0">
      <text>
        <r>
          <rPr>
            <sz val="10"/>
            <rFont val="Arial"/>
            <family val="2"/>
          </rPr>
          <t xml:space="preserve">Source: management instructions in this task through 7 September 2026. Linked by name to the Personnel classification; this cost view excludes the COO.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C13" authorId="0">
      <text>
        <r>
          <rPr>
            <sz val="10"/>
            <rFont val="Arial"/>
            <family val="2"/>
          </rPr>
          <t xml:space="preserve">Source: management instructions in this task through 7 September 2026. Linked by name to the Personnel classification; this cost view excludes the COO.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C14" authorId="0">
      <text>
        <r>
          <rPr>
            <sz val="10"/>
            <rFont val="Arial"/>
            <family val="2"/>
          </rPr>
          <t xml:space="preserve">Source: management instructions in this task through 7 September 2026. Linked by name to the Personnel classification; this cost view excludes the COO.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C15" authorId="0">
      <text>
        <r>
          <rPr>
            <sz val="10"/>
            <rFont val="Arial"/>
            <family val="2"/>
          </rPr>
          <t xml:space="preserve">Source: management instructions in this task through 7 September 2026. Linked by name to the Personnel classification; this cost view excludes the COO.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C16" authorId="0">
      <text>
        <r>
          <rPr>
            <sz val="10"/>
            <rFont val="Arial"/>
            <family val="2"/>
          </rPr>
          <t xml:space="preserve">Source: management instructions in this task through 7 September 2026. Linked by name to the Personnel classification; this cost view excludes the COO.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D9"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0"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1"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2"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3"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4"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5"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6"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H9" authorId="0">
      <text>
        <r>
          <rPr>
            <sz val="10"/>
            <rFont val="Arial"/>
            <family val="2"/>
          </rPr>
          <t xml:space="preserve">Source: compensation table image pasted_file_yfFQ2v_image.png, provided 7 September 2026; field: Medical Insurance (Annual). Operations Support amount is retained only as a budget placeholder until the person is selected.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36</xdr:rowOff>
              </xdr:to>
            </anchor>
          </commentPr>
        </mc:Choice>
        <mc:Fallback/>
      </mc:AlternateContent>
    </comment>
    <comment ref="H10" authorId="0">
      <text>
        <r>
          <rPr>
            <sz val="10"/>
            <rFont val="Arial"/>
            <family val="2"/>
          </rPr>
          <t xml:space="preserve">Source: compensation table image pasted_file_yfFQ2v_image.png, provided 7 September 2026; field: Medical Insurance (Annual). Operations Support amount is retained only as a budget placeholder until the person is selected.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36</xdr:rowOff>
              </xdr:to>
            </anchor>
          </commentPr>
        </mc:Choice>
        <mc:Fallback/>
      </mc:AlternateContent>
    </comment>
    <comment ref="H11" authorId="0">
      <text>
        <r>
          <rPr>
            <sz val="10"/>
            <rFont val="Arial"/>
            <family val="2"/>
          </rPr>
          <t xml:space="preserve">Source: compensation table image pasted_file_yfFQ2v_image.png, provided 7 September 2026; field: Medical Insurance (Annual). Operations Support amount is retained only as a budget placeholder until the person is selected.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36</xdr:rowOff>
              </xdr:to>
            </anchor>
          </commentPr>
        </mc:Choice>
        <mc:Fallback/>
      </mc:AlternateContent>
    </comment>
    <comment ref="H12" authorId="0">
      <text>
        <r>
          <rPr>
            <sz val="10"/>
            <rFont val="Arial"/>
            <family val="2"/>
          </rPr>
          <t xml:space="preserve">Source: compensation table image pasted_file_yfFQ2v_image.png, provided 7 September 2026; field: Medical Insurance (Annual). Operations Support amount is retained only as a budget placeholder until the person is selected.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36</xdr:rowOff>
              </xdr:to>
            </anchor>
          </commentPr>
        </mc:Choice>
        <mc:Fallback/>
      </mc:AlternateContent>
    </comment>
    <comment ref="H13" authorId="0">
      <text>
        <r>
          <rPr>
            <sz val="10"/>
            <rFont val="Arial"/>
            <family val="2"/>
          </rPr>
          <t xml:space="preserve">Source: compensation table image pasted_file_yfFQ2v_image.png, provided 7 September 2026; field: Medical Insurance (Annual). Operations Support amount is retained only as a budget placeholder until the person is selected.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36</xdr:rowOff>
              </xdr:to>
            </anchor>
          </commentPr>
        </mc:Choice>
        <mc:Fallback/>
      </mc:AlternateContent>
    </comment>
    <comment ref="H14" authorId="0">
      <text>
        <r>
          <rPr>
            <sz val="10"/>
            <rFont val="Arial"/>
            <family val="2"/>
          </rPr>
          <t xml:space="preserve">Source: compensation table image pasted_file_yfFQ2v_image.png, provided 7 September 2026; field: Medical Insurance (Annual). Operations Support amount is retained only as a budget placeholder until the person is selected.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36</xdr:rowOff>
              </xdr:to>
            </anchor>
          </commentPr>
        </mc:Choice>
        <mc:Fallback/>
      </mc:AlternateContent>
    </comment>
    <comment ref="H15" authorId="0">
      <text>
        <r>
          <rPr>
            <sz val="10"/>
            <rFont val="Arial"/>
            <family val="2"/>
          </rPr>
          <t xml:space="preserve">Source: compensation table image pasted_file_yfFQ2v_image.png, provided 7 September 2026; field: Medical Insurance (Annual). Operations Support amount is retained only as a budget placeholder until the person is selected.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36</xdr:rowOff>
              </xdr:to>
            </anchor>
          </commentPr>
        </mc:Choice>
        <mc:Fallback/>
      </mc:AlternateContent>
    </comment>
    <comment ref="H16" authorId="0">
      <text>
        <r>
          <rPr>
            <sz val="10"/>
            <rFont val="Arial"/>
            <family val="2"/>
          </rPr>
          <t xml:space="preserve">Source: compensation table image pasted_file_yfFQ2v_image.png, provided 7 September 2026; field: Medical Insurance (Annual). Operations Support amount is retained only as a budget placeholder until the person is selected.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36</xdr:rowOff>
              </xdr:to>
            </anchor>
          </commentPr>
        </mc:Choice>
        <mc:Fallback/>
      </mc:AlternateContent>
    </comment>
    <comment ref="J20"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This cost view is a management planning model and is not a payroll or statutory-benefit determination.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9</xdr:row>
                <xdr:rowOff>23</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9" authorId="0">
      <text>
        <r>
          <rPr>
            <sz val="10"/>
            <rFont val="Arial"/>
            <family val="2"/>
          </rPr>
          <t xml:space="preserve">Source: management instructions in this task through 7 September 2026. Alan expatriate package input: Housing allowance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0" authorId="0">
      <text>
        <r>
          <rPr>
            <sz val="10"/>
            <rFont val="Arial"/>
            <family val="2"/>
          </rPr>
          <t xml:space="preserve">Source: management instructions in this task through 7 September 2026. Alan expatriate package input: Home leave per trip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1" authorId="0">
      <text>
        <r>
          <rPr>
            <sz val="10"/>
            <rFont val="Arial"/>
            <family val="2"/>
          </rPr>
          <t xml:space="preserve">Source: management instructions in this task through 7 September 2026. Alan expatriate package input: Home leaves per year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2" authorId="0">
      <text>
        <r>
          <rPr>
            <sz val="10"/>
            <rFont val="Arial"/>
            <family val="2"/>
          </rPr>
          <t xml:space="preserve">Source: management instructions in this task through 7 September 2026. Alan expatriate package input: Home leave trip 1 month</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3" authorId="0">
      <text>
        <r>
          <rPr>
            <sz val="10"/>
            <rFont val="Arial"/>
            <family val="2"/>
          </rPr>
          <t xml:space="preserve">Source: management instructions in this task through 7 September 2026. Alan expatriate package input: Home leave trip 2 month</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4" authorId="0">
      <text>
        <r>
          <rPr>
            <sz val="10"/>
            <rFont val="Arial"/>
            <family val="2"/>
          </rPr>
          <t xml:space="preserve">Source: management instructions in this task through 7 September 2026. Alan expatriate package input: Family relocation city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24"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Expatriate benefits must be implemented through the approved contract and payroll process.</t>
        </r>
      </text>
      <mc:AlternateContent>
        <mc:Choice Requires="v2">
          <commentPr autoFill="true" autoScale="false" colHidden="false" locked="false" rowHidden="false" textHAlign="justify" textVAlign="top">
            <anchor moveWithCells="false" sizeWithCells="false">
              <xdr:from>
                <xdr:col>0</xdr:col>
                <xdr:colOff>79</xdr:colOff>
                <xdr:row>4</xdr:row>
                <xdr:rowOff>19</xdr:rowOff>
              </xdr:from>
              <xdr:to>
                <xdr:col>1</xdr:col>
                <xdr:colOff>55</xdr:colOff>
                <xdr:row>11</xdr:row>
                <xdr:rowOff>40</xdr:rowOff>
              </xdr:to>
            </anchor>
          </commentPr>
        </mc:Choice>
        <mc:Fallback/>
      </mc:AlternateContent>
    </comment>
    <comment ref="D9" authorId="0">
      <text>
        <r>
          <rPr>
            <sz val="10"/>
            <rFont val="Arial"/>
            <family val="2"/>
          </rPr>
          <t xml:space="preserve">Source: management instructions in this task through 7 September 2026. Approved minimum for Alan's family relocation to Maracaibo.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D10" authorId="0">
      <text>
        <r>
          <rPr>
            <sz val="10"/>
            <rFont val="Arial"/>
            <family val="2"/>
          </rPr>
          <t xml:space="preserve">Source: management instructions in this task through 7 September 2026. Two home leaves per year; timing is editable below.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1" authorId="0">
      <text>
        <r>
          <rPr>
            <sz val="10"/>
            <rFont val="Arial"/>
            <family val="2"/>
          </rPr>
          <t xml:space="preserve">Source: management instructions in this task through 7 September 2026. Use trip count to calculate annual cost.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D12" authorId="0">
      <text>
        <r>
          <rPr>
            <sz val="10"/>
            <rFont val="Arial"/>
            <family val="2"/>
          </rPr>
          <t xml:space="preserve">Source: management instructions in this task through 7 September 2026. Editable planning month; must be between M7 and M12.</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D13" authorId="0">
      <text>
        <r>
          <rPr>
            <sz val="10"/>
            <rFont val="Arial"/>
            <family val="2"/>
          </rPr>
          <t xml:space="preserve">Source: management instructions in this task through 7 September 2026. Editable planning month; must be between M7 and M12.</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D14" authorId="0">
      <text>
        <r>
          <rPr>
            <sz val="10"/>
            <rFont val="Arial"/>
            <family val="2"/>
          </rPr>
          <t xml:space="preserve">Source: management instructions in this task through 7 September 2026. Housing minimum of $2,000/month applies to approved family relocation in Maracaibo.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E9" authorId="0">
      <text>
        <r>
          <rPr>
            <sz val="10"/>
            <rFont val="Arial"/>
            <family val="2"/>
          </rPr>
          <t xml:space="preserve">Source: management instructions in this task through 7 September 2026. USD / month</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8</xdr:rowOff>
              </xdr:to>
            </anchor>
          </commentPr>
        </mc:Choice>
        <mc:Fallback/>
      </mc:AlternateContent>
    </comment>
    <comment ref="E10" authorId="0">
      <text>
        <r>
          <rPr>
            <sz val="10"/>
            <rFont val="Arial"/>
            <family val="2"/>
          </rPr>
          <t xml:space="preserve">Source: management instructions in this task through 7 September 2026. USD / trip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8</xdr:rowOff>
              </xdr:to>
            </anchor>
          </commentPr>
        </mc:Choice>
        <mc:Fallback/>
      </mc:AlternateContent>
    </comment>
    <comment ref="E11" authorId="0">
      <text>
        <r>
          <rPr>
            <sz val="10"/>
            <rFont val="Arial"/>
            <family val="2"/>
          </rPr>
          <t xml:space="preserve">Source: management instructions in this task through 7 September 2026. Trips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8</xdr:rowOff>
              </xdr:to>
            </anchor>
          </commentPr>
        </mc:Choice>
        <mc:Fallback/>
      </mc:AlternateContent>
    </comment>
    <comment ref="E12" authorId="0">
      <text>
        <r>
          <rPr>
            <sz val="10"/>
            <rFont val="Arial"/>
            <family val="2"/>
          </rPr>
          <t xml:space="preserve">Source: management instructions in this task through 7 September 2026. Month</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8</xdr:rowOff>
              </xdr:to>
            </anchor>
          </commentPr>
        </mc:Choice>
        <mc:Fallback/>
      </mc:AlternateContent>
    </comment>
    <comment ref="E13" authorId="0">
      <text>
        <r>
          <rPr>
            <sz val="10"/>
            <rFont val="Arial"/>
            <family val="2"/>
          </rPr>
          <t xml:space="preserve">Source: management instructions in this task through 7 September 2026. Month</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8</xdr:rowOff>
              </xdr:to>
            </anchor>
          </commentPr>
        </mc:Choice>
        <mc:Fallback/>
      </mc:AlternateContent>
    </comment>
    <comment ref="E14" authorId="0">
      <text>
        <r>
          <rPr>
            <sz val="10"/>
            <rFont val="Arial"/>
            <family val="2"/>
          </rPr>
          <t xml:space="preserve">Source: management instructions in this task through 7 September 2026. City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8</xdr:rowOff>
              </xdr:to>
            </anchor>
          </commentPr>
        </mc:Choice>
        <mc:Fallback/>
      </mc:AlternateContent>
    </comment>
    <comment ref="F9" authorId="0">
      <text>
        <r>
          <rPr>
            <sz val="10"/>
            <rFont val="Arial"/>
            <family val="2"/>
          </rPr>
          <t xml:space="preserve">Source: management instructions in this task through 7 September 2026. M7–M12</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8</xdr:rowOff>
              </xdr:to>
            </anchor>
          </commentPr>
        </mc:Choice>
        <mc:Fallback/>
      </mc:AlternateContent>
    </comment>
    <comment ref="F10" authorId="0">
      <text>
        <r>
          <rPr>
            <sz val="10"/>
            <rFont val="Arial"/>
            <family val="2"/>
          </rPr>
          <t xml:space="preserve">Source: management instructions in this task through 7 September 2026. M7+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8</xdr:rowOff>
              </xdr:to>
            </anchor>
          </commentPr>
        </mc:Choice>
        <mc:Fallback/>
      </mc:AlternateContent>
    </comment>
    <comment ref="F11" authorId="0">
      <text>
        <r>
          <rPr>
            <sz val="10"/>
            <rFont val="Arial"/>
            <family val="2"/>
          </rPr>
          <t xml:space="preserve">Source: management instructions in this task through 7 September 2026. M7+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8</xdr:rowOff>
              </xdr:to>
            </anchor>
          </commentPr>
        </mc:Choice>
        <mc:Fallback/>
      </mc:AlternateContent>
    </comment>
    <comment ref="F12" authorId="0">
      <text>
        <r>
          <rPr>
            <sz val="10"/>
            <rFont val="Arial"/>
            <family val="2"/>
          </rPr>
          <t xml:space="preserve">Source: management instructions in this task through 7 September 2026. M9</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8</xdr:rowOff>
              </xdr:to>
            </anchor>
          </commentPr>
        </mc:Choice>
        <mc:Fallback/>
      </mc:AlternateContent>
    </comment>
    <comment ref="F13" authorId="0">
      <text>
        <r>
          <rPr>
            <sz val="10"/>
            <rFont val="Arial"/>
            <family val="2"/>
          </rPr>
          <t xml:space="preserve">Source: management instructions in this task through 7 September 2026. M12</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8</xdr:rowOff>
              </xdr:to>
            </anchor>
          </commentPr>
        </mc:Choice>
        <mc:Fallback/>
      </mc:AlternateContent>
    </comment>
    <comment ref="F14" authorId="0">
      <text>
        <r>
          <rPr>
            <sz val="10"/>
            <rFont val="Arial"/>
            <family val="2"/>
          </rPr>
          <t xml:space="preserve">Source: management instructions in this task through 7 September 2026. M7+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8</xdr:rowOff>
              </xdr:to>
            </anchor>
          </commentPr>
        </mc:Choice>
        <mc:Fallback/>
      </mc:AlternateContent>
    </comment>
    <comment ref="G9" authorId="0">
      <text>
        <r>
          <rPr>
            <sz val="10"/>
            <rFont val="Arial"/>
            <family val="2"/>
          </rPr>
          <t xml:space="preserve">Source: management instructions in this task through 7 September 2026. Included in Monthly Costs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G10" authorId="0">
      <text>
        <r>
          <rPr>
            <sz val="10"/>
            <rFont val="Arial"/>
            <family val="2"/>
          </rPr>
          <t xml:space="preserve">Source: management instructions in this task through 7 September 2026. Included in Monthly Costs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G11" authorId="0">
      <text>
        <r>
          <rPr>
            <sz val="10"/>
            <rFont val="Arial"/>
            <family val="2"/>
          </rPr>
          <t xml:space="preserve">Source: management instructions in this task through 7 September 2026. Included in Monthly Costs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G12" authorId="0">
      <text>
        <r>
          <rPr>
            <sz val="10"/>
            <rFont val="Arial"/>
            <family val="2"/>
          </rPr>
          <t xml:space="preserve">Source: management instructions in this task through 7 September 2026. Included in Monthly Costs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G13" authorId="0">
      <text>
        <r>
          <rPr>
            <sz val="10"/>
            <rFont val="Arial"/>
            <family val="2"/>
          </rPr>
          <t xml:space="preserve">Source: management instructions in this task through 7 September 2026. Included in Monthly Costs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G14" authorId="0">
      <text>
        <r>
          <rPr>
            <sz val="10"/>
            <rFont val="Arial"/>
            <family val="2"/>
          </rPr>
          <t xml:space="preserve">Source: management instructions in this task through 7 September 2026. Housing allowance applies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H9" authorId="0">
      <text>
        <r>
          <rPr>
            <sz val="10"/>
            <rFont val="Arial"/>
            <family val="2"/>
          </rPr>
          <t xml:space="preserve">Source: management instructions in this task through 7 September 2026. Approved minimum for Alan's family relocation to Maracaibo.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H10" authorId="0">
      <text>
        <r>
          <rPr>
            <sz val="10"/>
            <rFont val="Arial"/>
            <family val="2"/>
          </rPr>
          <t xml:space="preserve">Source: management instructions in this task through 7 September 2026. Two home leaves per year; timing is editable below.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H11" authorId="0">
      <text>
        <r>
          <rPr>
            <sz val="10"/>
            <rFont val="Arial"/>
            <family val="2"/>
          </rPr>
          <t xml:space="preserve">Source: management instructions in this task through 7 September 2026. Use trip count to calculate annual cost.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H12" authorId="0">
      <text>
        <r>
          <rPr>
            <sz val="10"/>
            <rFont val="Arial"/>
            <family val="2"/>
          </rPr>
          <t xml:space="preserve">Source: management instructions in this task through 7 September 2026. Editable planning month; must be between M7 and M12.</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H13" authorId="0">
      <text>
        <r>
          <rPr>
            <sz val="10"/>
            <rFont val="Arial"/>
            <family val="2"/>
          </rPr>
          <t xml:space="preserve">Source: management instructions in this task through 7 September 2026. Editable planning month; must be between M7 and M12.</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H14" authorId="0">
      <text>
        <r>
          <rPr>
            <sz val="10"/>
            <rFont val="Arial"/>
            <family val="2"/>
          </rPr>
          <t xml:space="preserve">Source: management instructions in this task through 7 September 2026. Housing minimum of $2,000/month applies to approved family relocation in Maracaibo.</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10" authorId="0">
      <text>
        <r>
          <rPr>
            <sz val="10"/>
            <rFont val="Arial"/>
            <family val="2"/>
          </rPr>
          <t xml:space="preserve">Source: management instructions in this task through 7 September 2026. Core transition package component: Moving &amp; household-goods support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C11" authorId="0">
      <text>
        <r>
          <rPr>
            <sz val="10"/>
            <rFont val="Arial"/>
            <family val="2"/>
          </rPr>
          <t xml:space="preserve">Source: management instructions in this task through 7 September 2026. Core transition package component: Settling-in &amp; incidental expenses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C12" authorId="0">
      <text>
        <r>
          <rPr>
            <sz val="10"/>
            <rFont val="Arial"/>
            <family val="2"/>
          </rPr>
          <t xml:space="preserve">Source: management instructions in this task through 7 September 2026. Core transition package component: Temporary lodging &amp; local setup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C13" authorId="0">
      <text>
        <r>
          <rPr>
            <sz val="10"/>
            <rFont val="Arial"/>
            <family val="2"/>
          </rPr>
          <t xml:space="preserve">Source: management instructions in this task through 7 September 2026. Core transition package component: Local transport &amp; first-mile setup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C14" authorId="0">
      <text>
        <r>
          <rPr>
            <sz val="10"/>
            <rFont val="Arial"/>
            <family val="2"/>
          </rPr>
          <t xml:space="preserve">Source: management instructions in this task through 7 September 2026. Core transition package component: Documentation, payroll &amp; tax onboarding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C20" authorId="0">
      <text>
        <r>
          <rPr>
            <sz val="10"/>
            <rFont val="Arial"/>
            <family val="2"/>
          </rPr>
          <t xml:space="preserve">Source: management instructions in this task through 7 September 2026. Excluded from one-time package: Base salary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21" authorId="0">
      <text>
        <r>
          <rPr>
            <sz val="10"/>
            <rFont val="Arial"/>
            <family val="2"/>
          </rPr>
          <t xml:space="preserve">Source: management instructions in this task through 7 September 2026. Excluded from one-time package: Medical insurance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22" authorId="0">
      <text>
        <r>
          <rPr>
            <sz val="10"/>
            <rFont val="Arial"/>
            <family val="2"/>
          </rPr>
          <t xml:space="preserve">Source: management instructions in this task through 7 September 2026. Excluded from one-time package: Housing / staff house / hotel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C23" authorId="0">
      <text>
        <r>
          <rPr>
            <sz val="10"/>
            <rFont val="Arial"/>
            <family val="2"/>
          </rPr>
          <t xml:space="preserve">Source: management instructions in this task through 7 September 2026. Excluded from one-time package: Company transport to work</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C24" authorId="0">
      <text>
        <r>
          <rPr>
            <sz val="10"/>
            <rFont val="Arial"/>
            <family val="2"/>
          </rPr>
          <t xml:space="preserve">Source: management instructions in this task through 7 September 2026. Excluded from one-time package: Home leave, stock options, annual incentive and vacation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C25" authorId="0">
      <text>
        <r>
          <rPr>
            <sz val="10"/>
            <rFont val="Arial"/>
            <family val="2"/>
          </rPr>
          <t xml:space="preserve">Source: management instructions in this task through 7 September 2026. Excluded from one-time package: Venezuelan statutory payroll benefits and taxes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C30" authorId="0">
      <text>
        <r>
          <rPr>
            <sz val="10"/>
            <rFont val="Arial"/>
            <family val="2"/>
          </rPr>
          <t xml:space="preserve">Source: management instructions in this task through 7 September 2026. Eligible Repatriate identified from Personnel; package is paid once at M7.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C31" authorId="0">
      <text>
        <r>
          <rPr>
            <sz val="10"/>
            <rFont val="Arial"/>
            <family val="2"/>
          </rPr>
          <t xml:space="preserve">Source: management instructions in this task through 7 September 2026. Eligible Repatriate identified from Personnel; package is paid once at M7.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C32" authorId="0">
      <text>
        <r>
          <rPr>
            <sz val="10"/>
            <rFont val="Arial"/>
            <family val="2"/>
          </rPr>
          <t xml:space="preserve">Source: management instructions in this task through 7 September 2026. Eligible Repatriate identified from Personnel; package is paid once at M7.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C36"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package is a company policy item, not a determination of legal or tax treatment.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9</xdr:row>
                <xdr:rowOff>30</xdr:rowOff>
              </xdr:to>
            </anchor>
          </commentPr>
        </mc:Choice>
        <mc:Fallback/>
      </mc:AlternateContent>
    </comment>
    <comment ref="D10" authorId="0">
      <text>
        <r>
          <rPr>
            <sz val="10"/>
            <rFont val="Arial"/>
            <family val="2"/>
          </rPr>
          <t xml:space="preserve">Source: management instructions in this task through 7 September 2026. Editable planning multiplier expressed in months of the employee's monthly base salary.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D11" authorId="0">
      <text>
        <r>
          <rPr>
            <sz val="10"/>
            <rFont val="Arial"/>
            <family val="2"/>
          </rPr>
          <t xml:space="preserve">Source: management instructions in this task through 7 September 2026. Editable planning multiplier expressed in months of the employee's monthly base salary.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D12" authorId="0">
      <text>
        <r>
          <rPr>
            <sz val="10"/>
            <rFont val="Arial"/>
            <family val="2"/>
          </rPr>
          <t xml:space="preserve">Source: management instructions in this task through 7 September 2026. Editable planning multiplier expressed in months of the employee's monthly base salary.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D13" authorId="0">
      <text>
        <r>
          <rPr>
            <sz val="10"/>
            <rFont val="Arial"/>
            <family val="2"/>
          </rPr>
          <t xml:space="preserve">Source: management instructions in this task through 7 September 2026. Editable planning multiplier expressed in months of the employee's monthly base salary.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D14" authorId="0">
      <text>
        <r>
          <rPr>
            <sz val="10"/>
            <rFont val="Arial"/>
            <family val="2"/>
          </rPr>
          <t xml:space="preserve">Source: management instructions in this task through 7 September 2026. Editable planning multiplier expressed in months of the employee's monthly base salary.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D20" authorId="0">
      <text>
        <r>
          <rPr>
            <sz val="10"/>
            <rFont val="Arial"/>
            <family val="2"/>
          </rPr>
          <t xml:space="preserve">Source: management instructions in this task through 7 September 2026. Already reflected in M1–M12; not a transition cost.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21" authorId="0">
      <text>
        <r>
          <rPr>
            <sz val="10"/>
            <rFont val="Arial"/>
            <family val="2"/>
          </rPr>
          <t xml:space="preserve">Source: management instructions in this task through 7 September 2026. M1–M6 and M7+ benefit; not part of the one-time package.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D22" authorId="0">
      <text>
        <r>
          <rPr>
            <sz val="10"/>
            <rFont val="Arial"/>
            <family val="2"/>
          </rPr>
          <t xml:space="preserve">Source: management instructions in this task through 7 September 2026. Approved separately by city and individual package; do not duplicate in the allowance.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D23" authorId="0">
      <text>
        <r>
          <rPr>
            <sz val="10"/>
            <rFont val="Arial"/>
            <family val="2"/>
          </rPr>
          <t xml:space="preserve">Source: management instructions in this task through 7 September 2026. Ongoing local benefit, where approved; not a transition payment.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D24" authorId="0">
      <text>
        <r>
          <rPr>
            <sz val="10"/>
            <rFont val="Arial"/>
            <family val="2"/>
          </rPr>
          <t xml:space="preserve">Source: management instructions in this task through 7 September 2026. Only where separately approved; not included in the repatriation package.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D25" authorId="0">
      <text>
        <r>
          <rPr>
            <sz val="10"/>
            <rFont val="Arial"/>
            <family val="2"/>
          </rPr>
          <t xml:space="preserve">Source: management instructions in this task through 7 September 2026. Apply according to local legal, tax and payroll review.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30"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31"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32" authorId="0">
      <text>
        <r>
          <rPr>
            <sz val="10"/>
            <rFont val="Arial"/>
            <family val="2"/>
          </rPr>
          <t xml:space="preserve">Source: compensation table image pasted_file_yfFQ2v_image.png, provided 7 September 2026; field: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0" authorId="0">
      <text>
        <r>
          <rPr>
            <sz val="10"/>
            <rFont val="Arial"/>
            <family val="2"/>
          </rPr>
          <t xml:space="preserve">Source: management instructions in this task through 7 September 2026. Paid or reimbursed once at localisation in M7.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1" authorId="0">
      <text>
        <r>
          <rPr>
            <sz val="10"/>
            <rFont val="Arial"/>
            <family val="2"/>
          </rPr>
          <t xml:space="preserve">Source: management instructions in this task through 7 September 2026. Paid or reimbursed once at localisation in M7.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2" authorId="0">
      <text>
        <r>
          <rPr>
            <sz val="10"/>
            <rFont val="Arial"/>
            <family val="2"/>
          </rPr>
          <t xml:space="preserve">Source: management instructions in this task through 7 September 2026. Paid or reimbursed once at localisation in M7.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3" authorId="0">
      <text>
        <r>
          <rPr>
            <sz val="10"/>
            <rFont val="Arial"/>
            <family val="2"/>
          </rPr>
          <t xml:space="preserve">Source: management instructions in this task through 7 September 2026. Paid or reimbursed once at localisation in M7.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4" authorId="0">
      <text>
        <r>
          <rPr>
            <sz val="10"/>
            <rFont val="Arial"/>
            <family val="2"/>
          </rPr>
          <t xml:space="preserve">Source: management instructions in this task through 7 September 2026. Paid or reimbursed once at localisation in M7.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F10" authorId="0">
      <text>
        <r>
          <rPr>
            <sz val="10"/>
            <rFont val="Arial"/>
            <family val="2"/>
          </rPr>
          <t xml:space="preserve">Source: management instructions in this task through 7 September 2026. Use direct payment or documented reimbursement where practical; do not duplicate other approved benefits.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F11" authorId="0">
      <text>
        <r>
          <rPr>
            <sz val="10"/>
            <rFont val="Arial"/>
            <family val="2"/>
          </rPr>
          <t xml:space="preserve">Source: management instructions in this task through 7 September 2026. Use direct payment or documented reimbursement where practical; do not duplicate other approved benefits.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F12" authorId="0">
      <text>
        <r>
          <rPr>
            <sz val="10"/>
            <rFont val="Arial"/>
            <family val="2"/>
          </rPr>
          <t xml:space="preserve">Source: management instructions in this task through 7 September 2026. Use direct payment or documented reimbursement where practical; do not duplicate other approved benefits.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F13" authorId="0">
      <text>
        <r>
          <rPr>
            <sz val="10"/>
            <rFont val="Arial"/>
            <family val="2"/>
          </rPr>
          <t xml:space="preserve">Source: management instructions in this task through 7 September 2026. Use direct payment or documented reimbursement where practical; do not duplicate other approved benefits.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F14" authorId="0">
      <text>
        <r>
          <rPr>
            <sz val="10"/>
            <rFont val="Arial"/>
            <family val="2"/>
          </rPr>
          <t xml:space="preserve">Source: management instructions in this task through 7 September 2026. Use direct payment or documented reimbursement where practical; do not duplicate other approved benefits.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G10" authorId="0">
      <text>
        <r>
          <rPr>
            <sz val="10"/>
            <rFont val="Arial"/>
            <family val="2"/>
          </rPr>
          <t xml:space="preserve">Source: management instructions in this task through 7 September 2026. Packing, shipment, excess baggage and local move-related costs.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G11" authorId="0">
      <text>
        <r>
          <rPr>
            <sz val="10"/>
            <rFont val="Arial"/>
            <family val="2"/>
          </rPr>
          <t xml:space="preserve">Source: management instructions in this task through 7 September 2026. Utilities, connection charges, phone / internet setup and small household items.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G12" authorId="0">
      <text>
        <r>
          <rPr>
            <sz val="10"/>
            <rFont val="Arial"/>
            <family val="2"/>
          </rPr>
          <t xml:space="preserve">Source: management instructions in this task through 7 September 2026. Initial hotel or staff-house transition and practical local setup.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G13" authorId="0">
      <text>
        <r>
          <rPr>
            <sz val="10"/>
            <rFont val="Arial"/>
            <family val="2"/>
          </rPr>
          <t xml:space="preserve">Source: management instructions in this task through 7 September 2026. Arrival transport, local mobility and initial work-access setup.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G14" authorId="0">
      <text>
        <r>
          <rPr>
            <sz val="10"/>
            <rFont val="Arial"/>
            <family val="2"/>
          </rPr>
          <t xml:space="preserve">Source: management instructions in this task through 7 September 2026. Local documentation, payroll onboarding and transition tax consultation.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H10"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Confirm local payroll, tax and salary-character treatment before payment.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9</xdr:row>
                <xdr:rowOff>30</xdr:rowOff>
              </xdr:to>
            </anchor>
          </commentPr>
        </mc:Choice>
        <mc:Fallback/>
      </mc:AlternateContent>
    </comment>
    <comment ref="H11"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Confirm local payroll, tax and salary-character treatment before payment.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9</xdr:row>
                <xdr:rowOff>30</xdr:rowOff>
              </xdr:to>
            </anchor>
          </commentPr>
        </mc:Choice>
        <mc:Fallback/>
      </mc:AlternateContent>
    </comment>
    <comment ref="H12"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Confirm local payroll, tax and salary-character treatment before payment.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9</xdr:row>
                <xdr:rowOff>30</xdr:rowOff>
              </xdr:to>
            </anchor>
          </commentPr>
        </mc:Choice>
        <mc:Fallback/>
      </mc:AlternateContent>
    </comment>
    <comment ref="H13"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Confirm local payroll, tax and salary-character treatment before payment.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9</xdr:row>
                <xdr:rowOff>30</xdr:rowOff>
              </xdr:to>
            </anchor>
          </commentPr>
        </mc:Choice>
        <mc:Fallback/>
      </mc:AlternateContent>
    </comment>
    <comment ref="H14"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Confirm local payroll, tax and salary-character treatment before payment.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9</xdr:row>
                <xdr:rowOff>30</xdr:rowOff>
              </xdr:to>
            </anchor>
          </commentPr>
        </mc:Choice>
        <mc:Fallback/>
      </mc:AlternateContent>
    </comment>
    <comment ref="I30" authorId="0">
      <text>
        <r>
          <rPr>
            <sz val="10"/>
            <rFont val="Arial"/>
            <family val="2"/>
          </rPr>
          <t xml:space="preserve">Source: management instructions in this task through 7 September 2026. Amount, approval and payroll treatment remain subject to Venezuelan legal, tax and HR review.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I31" authorId="0">
      <text>
        <r>
          <rPr>
            <sz val="10"/>
            <rFont val="Arial"/>
            <family val="2"/>
          </rPr>
          <t xml:space="preserve">Source: management instructions in this task through 7 September 2026. Amount, approval and payroll treatment remain subject to Venezuelan legal, tax and HR review.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I32" authorId="0">
      <text>
        <r>
          <rPr>
            <sz val="10"/>
            <rFont val="Arial"/>
            <family val="2"/>
          </rPr>
          <t xml:space="preserve">Source: management instructions in this task through 7 September 2026. Amount, approval and payroll treatment remain subject to Venezuelan legal, tax and HR review.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J30" authorId="0">
      <text>
        <r>
          <rPr>
            <sz val="10"/>
            <rFont val="Arial"/>
            <family val="2"/>
          </rPr>
          <t xml:space="preserve">Source: management instructions in this task through 7 September 2026. No recurring payment. No housing, medical, statutory benefits or tax gross-up included.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J31" authorId="0">
      <text>
        <r>
          <rPr>
            <sz val="10"/>
            <rFont val="Arial"/>
            <family val="2"/>
          </rPr>
          <t xml:space="preserve">Source: management instructions in this task through 7 September 2026. No recurring payment. No housing, medical, statutory benefits or tax gross-up included.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J32" authorId="0">
      <text>
        <r>
          <rPr>
            <sz val="10"/>
            <rFont val="Arial"/>
            <family val="2"/>
          </rPr>
          <t xml:space="preserve">Source: management instructions in this task through 7 September 2026. No recurring payment. No housing, medical, statutory benefits or tax gross-up included.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7"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Tax treatment, residence and payroll obligations require legal and tax review; this is a management planning assumption only.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11</xdr:row>
                <xdr:rowOff>35</xdr:rowOff>
              </xdr:to>
            </anchor>
          </commentPr>
        </mc:Choice>
        <mc:Fallback/>
      </mc:AlternateContent>
    </comment>
    <comment ref="C12" authorId="0">
      <text>
        <r>
          <rPr>
            <sz val="10"/>
            <rFont val="Arial"/>
            <family val="2"/>
          </rPr>
          <t xml:space="preserve">Source: management instructions in this task through 7 September 2026. Initial PU secondment as confirmed by management.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C13" authorId="0">
      <text>
        <r>
          <rPr>
            <sz val="10"/>
            <rFont val="Arial"/>
            <family val="2"/>
          </rPr>
          <t xml:space="preserve">Source: management instructions in this task through 7 September 2026. Initial PU secondment as confirmed by management.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C14" authorId="0">
      <text>
        <r>
          <rPr>
            <sz val="10"/>
            <rFont val="Arial"/>
            <family val="2"/>
          </rPr>
          <t xml:space="preserve">Source: management instructions in this task through 7 September 2026. Initial PU secondment as confirmed by management.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D12" authorId="0">
      <text>
        <r>
          <rPr>
            <sz val="10"/>
            <rFont val="Arial"/>
            <family val="2"/>
          </rPr>
          <t xml:space="preserve">Source: management instructions in this task through 7 September 2026. PU role as confirmed by management.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3" authorId="0">
      <text>
        <r>
          <rPr>
            <sz val="10"/>
            <rFont val="Arial"/>
            <family val="2"/>
          </rPr>
          <t xml:space="preserve">Source: management instructions in this task through 7 September 2026. PU role as confirmed by management.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4" authorId="0">
      <text>
        <r>
          <rPr>
            <sz val="10"/>
            <rFont val="Arial"/>
            <family val="2"/>
          </rPr>
          <t xml:space="preserve">Source: management instructions in this task through 7 September 2026. PU role as confirmed by management.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2" authorId="0">
      <text>
        <r>
          <rPr>
            <sz val="10"/>
            <rFont val="Arial"/>
            <family val="2"/>
          </rPr>
          <t xml:space="preserve">Source: management instructions in this task through 7 September 2026. Known — calculated from Monthly Costs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3" authorId="0">
      <text>
        <r>
          <rPr>
            <sz val="10"/>
            <rFont val="Arial"/>
            <family val="2"/>
          </rPr>
          <t xml:space="preserve">Source: management instructions in this task through 7 September 2026. Known — calculated from Monthly Costs, including expat benefits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E14" authorId="0">
      <text>
        <r>
          <rPr>
            <sz val="10"/>
            <rFont val="Arial"/>
            <family val="2"/>
          </rPr>
          <t xml:space="preserve">Source: management instructions in this task through 7 September 2026. Salary known — $180,000/year; benefits TBD and excluded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F14" authorId="0">
      <text>
        <r>
          <rPr>
            <sz val="10"/>
            <rFont val="Arial"/>
            <family val="2"/>
          </rPr>
          <t xml:space="preserve">Source: management instructions in this task through 7 September 2026. Known PU-paid salary: $180,000/year or $15,000/month. Medical, housing, home leave and other benefits remain TBD and are excluded.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G14" authorId="0">
      <text>
        <r>
          <rPr>
            <sz val="10"/>
            <rFont val="Arial"/>
            <family val="2"/>
          </rPr>
          <t xml:space="preserve">Source: management instructions in this task through 7 September 2026. Known PU-paid salary: $180,000/year or $15,000/month. Medical, housing, home leave and other benefits remain TBD and are excluded.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H14" authorId="0">
      <text>
        <r>
          <rPr>
            <sz val="10"/>
            <rFont val="Arial"/>
            <family val="2"/>
          </rPr>
          <t xml:space="preserve">Source: management instructions in this task through 7 September 2026. Known PU-paid salary: $180,000/year or $15,000/month. Medical, housing, home leave and other benefits remain TBD and are excluded.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I14" authorId="0">
      <text>
        <r>
          <rPr>
            <sz val="10"/>
            <rFont val="Arial"/>
            <family val="2"/>
          </rPr>
          <t xml:space="preserve">Source: management instructions in this task through 7 September 2026. Known PU-paid salary: $180,000/year or $15,000/month. Medical, housing, home leave and other benefits remain TBD and are excluded.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J14" authorId="0">
      <text>
        <r>
          <rPr>
            <sz val="10"/>
            <rFont val="Arial"/>
            <family val="2"/>
          </rPr>
          <t xml:space="preserve">Source: management instructions in this task through 7 September 2026. Known PU-paid salary: $180,000/year or $15,000/month. Medical, housing, home leave and other benefits remain TBD and are excluded.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K14" authorId="0">
      <text>
        <r>
          <rPr>
            <sz val="10"/>
            <rFont val="Arial"/>
            <family val="2"/>
          </rPr>
          <t xml:space="preserve">Source: management instructions in this task through 7 September 2026. Known PU-paid salary: $180,000/year or $15,000/month. Medical, housing, home leave and other benefits remain TBD and are excluded.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L14" authorId="0">
      <text>
        <r>
          <rPr>
            <sz val="10"/>
            <rFont val="Arial"/>
            <family val="2"/>
          </rPr>
          <t xml:space="preserve">Source: management instructions in this task through 7 September 2026. Known PU-paid salary: $180,000/year or $15,000/month. Medical, housing, home leave and other benefits remain TBD and are excluded.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M14" authorId="0">
      <text>
        <r>
          <rPr>
            <sz val="10"/>
            <rFont val="Arial"/>
            <family val="2"/>
          </rPr>
          <t xml:space="preserve">Source: management instructions in this task through 7 September 2026. Known PU-paid salary: $180,000/year or $15,000/month. Medical, housing, home leave and other benefits remain TBD and are excluded.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N14" authorId="0">
      <text>
        <r>
          <rPr>
            <sz val="10"/>
            <rFont val="Arial"/>
            <family val="2"/>
          </rPr>
          <t xml:space="preserve">Source: management instructions in this task through 7 September 2026. Known PU-paid salary: $180,000/year or $15,000/month. Medical, housing, home leave and other benefits remain TBD and are excluded.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O14" authorId="0">
      <text>
        <r>
          <rPr>
            <sz val="10"/>
            <rFont val="Arial"/>
            <family val="2"/>
          </rPr>
          <t xml:space="preserve">Source: management instructions in this task through 7 September 2026. Known PU-paid salary: $180,000/year or $15,000/month. Medical, housing, home leave and other benefits remain TBD and are excluded.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P14" authorId="0">
      <text>
        <r>
          <rPr>
            <sz val="10"/>
            <rFont val="Arial"/>
            <family val="2"/>
          </rPr>
          <t xml:space="preserve">Source: management instructions in this task through 7 September 2026. Known PU-paid salary: $180,000/year or $15,000/month. Medical, housing, home leave and other benefits remain TBD and are excluded.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 ref="Q14" authorId="0">
      <text>
        <r>
          <rPr>
            <sz val="10"/>
            <rFont val="Arial"/>
            <family val="2"/>
          </rPr>
          <t xml:space="preserve">Source: management instructions in this task through 7 September 2026. Known PU-paid salary: $180,000/year or $15,000/month. Medical, housing, home leave and other benefits remain TBD and are excluded.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9" authorId="0">
      <text>
        <r>
          <rPr>
            <sz val="10"/>
            <rFont val="Arial"/>
            <family val="2"/>
          </rPr>
          <t xml:space="preserve">Source: management instructions in this task through 7 September 2026. Default contract rule: Expat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C10" authorId="0">
      <text>
        <r>
          <rPr>
            <sz val="10"/>
            <rFont val="Arial"/>
            <family val="2"/>
          </rPr>
          <t xml:space="preserve">Source: management instructions in this task through 7 September 2026. Default contract rule: Repatriate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C11" authorId="0">
      <text>
        <r>
          <rPr>
            <sz val="10"/>
            <rFont val="Arial"/>
            <family val="2"/>
          </rPr>
          <t xml:space="preserve">Source: management instructions in this task through 7 September 2026. Default contract rule: Local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C12" authorId="0">
      <text>
        <r>
          <rPr>
            <sz val="10"/>
            <rFont val="Arial"/>
            <family val="2"/>
          </rPr>
          <t xml:space="preserve">Source: management instructions in this task through 7 September 2026. Default contract rule: TBD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C16" authorId="0">
      <text>
        <r>
          <rPr>
            <sz val="10"/>
            <rFont val="Arial"/>
            <family val="2"/>
          </rPr>
          <t xml:space="preserve">Source: management instructions in this task through 7 September 2026. Default work-arrangement rule: Fixed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7" authorId="0">
      <text>
        <r>
          <rPr>
            <sz val="10"/>
            <rFont val="Arial"/>
            <family val="2"/>
          </rPr>
          <t xml:space="preserve">Source: management instructions in this task through 7 September 2026. Default work-arrangement rule: Rotation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C18" authorId="0">
      <text>
        <r>
          <rPr>
            <sz val="10"/>
            <rFont val="Arial"/>
            <family val="2"/>
          </rPr>
          <t xml:space="preserve">Source: management instructions in this task through 7 September 2026. Default work-arrangement rule: TBD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C20"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Company policy transition does not replace a legal classification or payroll review.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65</xdr:rowOff>
              </xdr:to>
            </anchor>
          </commentPr>
        </mc:Choice>
        <mc:Fallback/>
      </mc:AlternateContent>
    </comment>
    <comment ref="D9" authorId="0">
      <text>
        <r>
          <rPr>
            <sz val="10"/>
            <rFont val="Arial"/>
            <family val="2"/>
          </rPr>
          <t xml:space="preserve">Source: management instructions in this task through 7 September 2026. Default contract rule: Medical insurance only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0" authorId="0">
      <text>
        <r>
          <rPr>
            <sz val="10"/>
            <rFont val="Arial"/>
            <family val="2"/>
          </rPr>
          <t xml:space="preserve">Source: management instructions in this task through 7 September 2026. Default contract rule: Medical insurance only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1" authorId="0">
      <text>
        <r>
          <rPr>
            <sz val="10"/>
            <rFont val="Arial"/>
            <family val="2"/>
          </rPr>
          <t xml:space="preserve">Source: management instructions in this task through 7 September 2026. Default contract rule: Medical insurance only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D12" authorId="0">
      <text>
        <r>
          <rPr>
            <sz val="10"/>
            <rFont val="Arial"/>
            <family val="2"/>
          </rPr>
          <t xml:space="preserve">Source: management instructions in this task through 7 September 2026. Default contract rule: Not defined until person and contract are approved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D16" authorId="0">
      <text>
        <r>
          <rPr>
            <sz val="10"/>
            <rFont val="Arial"/>
            <family val="2"/>
          </rPr>
          <t xml:space="preserve">Source: management instructions in this task through 7 September 2026. Default work-arrangement rule: Continuous assignment to the role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D17" authorId="0">
      <text>
        <r>
          <rPr>
            <sz val="10"/>
            <rFont val="Arial"/>
            <family val="2"/>
          </rPr>
          <t xml:space="preserve">Source: management instructions in this task through 7 September 2026. Default work-arrangement rule: Roster-based presence in Venezuela</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D18" authorId="0">
      <text>
        <r>
          <rPr>
            <sz val="10"/>
            <rFont val="Arial"/>
            <family val="2"/>
          </rPr>
          <t xml:space="preserve">Source: management instructions in this task through 7 September 2026. Default work-arrangement rule: To be determined with the selected Operations Support employee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E9"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E10"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E11"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E12"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E16" authorId="0">
      <text>
        <r>
          <rPr>
            <sz val="10"/>
            <rFont val="Arial"/>
            <family val="2"/>
          </rPr>
          <t xml:space="preserve">Source: management instructions in this task through 7 September 2026. Default work-arrangement rule: Medical insurance only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7" authorId="0">
      <text>
        <r>
          <rPr>
            <sz val="10"/>
            <rFont val="Arial"/>
            <family val="2"/>
          </rPr>
          <t xml:space="preserve">Source: management instructions in this task through 7 September 2026. Default work-arrangement rule: Medical insurance only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E18" authorId="0">
      <text>
        <r>
          <rPr>
            <sz val="10"/>
            <rFont val="Arial"/>
            <family val="2"/>
          </rPr>
          <t xml:space="preserve">Source: management instructions in this task through 7 September 2026. Default work-arrangement rule: Not defined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F9" authorId="0">
      <text>
        <r>
          <rPr>
            <sz val="10"/>
            <rFont val="Arial"/>
            <family val="2"/>
          </rPr>
          <t xml:space="preserve">Source: management instructions in this task through 7 September 2026. Default contract rule: Health care costed monthly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F10" authorId="0">
      <text>
        <r>
          <rPr>
            <sz val="10"/>
            <rFont val="Arial"/>
            <family val="2"/>
          </rPr>
          <t xml:space="preserve">Source: management instructions in this task through 7 September 2026. Default contract rule: Health care costed monthly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F11" authorId="0">
      <text>
        <r>
          <rPr>
            <sz val="10"/>
            <rFont val="Arial"/>
            <family val="2"/>
          </rPr>
          <t xml:space="preserve">Source: management instructions in this task through 7 September 2026. Default contract rule: Health care costed monthly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F12" authorId="0">
      <text>
        <r>
          <rPr>
            <sz val="10"/>
            <rFont val="Arial"/>
            <family val="2"/>
          </rPr>
          <t xml:space="preserve">Source: management instructions in this task through 7 September 2026. Default contract rule: Not defined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F16" authorId="0">
      <text>
        <r>
          <rPr>
            <sz val="10"/>
            <rFont val="Arial"/>
            <family val="2"/>
          </rPr>
          <t xml:space="preserve">Source: management instructions in this task through 7 September 2026. Default work-arrangement rule: Based on contract type, city and approved package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F17" authorId="0">
      <text>
        <r>
          <rPr>
            <sz val="10"/>
            <rFont val="Arial"/>
            <family val="2"/>
          </rPr>
          <t xml:space="preserve">Source: management instructions in this task through 7 September 2026. Default work-arrangement rule: Hotel, staff house or rotational lodging; avoid duplicate permanent housing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F18" authorId="0">
      <text>
        <r>
          <rPr>
            <sz val="10"/>
            <rFont val="Arial"/>
            <family val="2"/>
          </rPr>
          <t xml:space="preserve">Source: management instructions in this task through 7 September 2026. Default work-arrangement rule: Not defined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G9" authorId="0">
      <text>
        <r>
          <rPr>
            <sz val="10"/>
            <rFont val="Arial"/>
            <family val="2"/>
          </rPr>
          <t xml:space="preserve">Source: management instructions in this task through 7 September 2026. Default contract rule: Alan exception: $2,000/month from M7 for approved family relocation to Maracaibo; otherwise separate approval required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21</xdr:rowOff>
              </xdr:to>
            </anchor>
          </commentPr>
        </mc:Choice>
        <mc:Fallback/>
      </mc:AlternateContent>
    </comment>
    <comment ref="G10" authorId="0">
      <text>
        <r>
          <rPr>
            <sz val="10"/>
            <rFont val="Arial"/>
            <family val="2"/>
          </rPr>
          <t xml:space="preserve">Source: management instructions in this task through 7 September 2026. Default contract rule: Not costed in Monthly Costs; separate approval required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G11" authorId="0">
      <text>
        <r>
          <rPr>
            <sz val="10"/>
            <rFont val="Arial"/>
            <family val="2"/>
          </rPr>
          <t xml:space="preserve">Source: management instructions in this task through 7 September 2026. Default contract rule: Not costed in Monthly Costs; separate approval required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G12" authorId="0">
      <text>
        <r>
          <rPr>
            <sz val="10"/>
            <rFont val="Arial"/>
            <family val="2"/>
          </rPr>
          <t xml:space="preserve">Source: management instructions in this task through 7 September 2026. Default contract rule: Not defined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G16" authorId="0">
      <text>
        <r>
          <rPr>
            <sz val="10"/>
            <rFont val="Arial"/>
            <family val="2"/>
          </rPr>
          <t xml:space="preserve">Source: management instructions in this task through 7 September 2026. Default work-arrangement rule: According to contract type / local policy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G17" authorId="0">
      <text>
        <r>
          <rPr>
            <sz val="10"/>
            <rFont val="Arial"/>
            <family val="2"/>
          </rPr>
          <t xml:space="preserve">Source: management instructions in this task through 7 September 2026. Default work-arrangement rule: Rotation roster travel replaces or supplements home leave only if approved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G18" authorId="0">
      <text>
        <r>
          <rPr>
            <sz val="10"/>
            <rFont val="Arial"/>
            <family val="2"/>
          </rPr>
          <t xml:space="preserve">Source: management instructions in this task through 7 September 2026. Default work-arrangement rule: Not defined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H9"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H10"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H11"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H12"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H16" authorId="0">
      <text>
        <r>
          <rPr>
            <sz val="10"/>
            <rFont val="Arial"/>
            <family val="2"/>
          </rPr>
          <t xml:space="preserve">Source: management instructions in this task through 7 September 2026. Default work-arrangement rule: JJI is Fixed but Remote; Remote is noted separately.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H17" authorId="0">
      <text>
        <r>
          <rPr>
            <sz val="10"/>
            <rFont val="Arial"/>
            <family val="2"/>
          </rPr>
          <t xml:space="preserve">Source: management instructions in this task through 7 September 2026. Default work-arrangement rule: Marcelo Dantas is currently shown as Rotation.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16</xdr:rowOff>
              </xdr:to>
            </anchor>
          </commentPr>
        </mc:Choice>
        <mc:Fallback/>
      </mc:AlternateContent>
    </comment>
    <comment ref="H18" authorId="0">
      <text>
        <r>
          <rPr>
            <sz val="10"/>
            <rFont val="Arial"/>
            <family val="2"/>
          </rPr>
          <t xml:space="preserve">Source: management instructions in this task through 7 September 2026. Default work-arrangement rule: Operations Support is an open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I9"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I10"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I11"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I12"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J9"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J10"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J11"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J12" authorId="0">
      <text>
        <r>
          <rPr>
            <sz val="10"/>
            <rFont val="Arial"/>
            <family val="2"/>
          </rPr>
          <t xml:space="preserve">Compliance context: Venezuelan labor rules apply to employment relationships performed in Venezuela regardless of nationality. Source: Embassy of Spain in Caracas, 'Trabajar' (accessed 7 September 2026), summarizing LOTTT. The local payroll and benefit treatment must be reviewed by Venezuelan labor, tax and HR advisers before implementation.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80</xdr:rowOff>
              </xdr:to>
            </anchor>
          </commentPr>
        </mc:Choice>
        <mc:Fallback/>
      </mc:AlternateContent>
    </comment>
    <comment ref="K9" authorId="0">
      <text>
        <r>
          <rPr>
            <sz val="10"/>
            <rFont val="Arial"/>
            <family val="2"/>
          </rPr>
          <t xml:space="preserve">Source: management instructions in this task through 7 September 2026. Default contract rule: Provisional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K10" authorId="0">
      <text>
        <r>
          <rPr>
            <sz val="10"/>
            <rFont val="Arial"/>
            <family val="2"/>
          </rPr>
          <t xml:space="preserve">Source: management instructions in this task through 7 September 2026. Default contract rule: Confirmed policy direction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4</xdr:row>
                <xdr:rowOff>6</xdr:rowOff>
              </xdr:to>
            </anchor>
          </commentPr>
        </mc:Choice>
        <mc:Fallback/>
      </mc:AlternateContent>
    </comment>
    <comment ref="K11" authorId="0">
      <text>
        <r>
          <rPr>
            <sz val="10"/>
            <rFont val="Arial"/>
            <family val="2"/>
          </rPr>
          <t xml:space="preserve">Source: management instructions in this task through 7 September 2026. Default contract rule: Provisional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K12" authorId="0">
      <text>
        <r>
          <rPr>
            <sz val="10"/>
            <rFont val="Arial"/>
            <family val="2"/>
          </rPr>
          <t xml:space="preserve">Source: management instructions in this task through 7 September 2026. Default contract rule: Open position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3</xdr:row>
                <xdr:rowOff>11</xdr:rowOff>
              </xdr:to>
            </anchor>
          </commentPr>
        </mc:Choice>
        <mc:Fallback/>
      </mc:AlternateContent>
    </comment>
    <comment ref="L9" authorId="0">
      <text>
        <r>
          <rPr>
            <sz val="10"/>
            <rFont val="Arial"/>
            <family val="2"/>
          </rPr>
          <t xml:space="preserve">Source: management instructions in this task through 7 September 2026. Default contract rule: No universal oil-and-gas benefit grid; package must reflect role, location and contract.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6</xdr:row>
                <xdr:rowOff>11</xdr:rowOff>
              </xdr:to>
            </anchor>
          </commentPr>
        </mc:Choice>
        <mc:Fallback/>
      </mc:AlternateContent>
    </comment>
    <comment ref="L10" authorId="0">
      <text>
        <r>
          <rPr>
            <sz val="10"/>
            <rFont val="Arial"/>
            <family val="2"/>
          </rPr>
          <t xml:space="preserve">Source: management instructions in this task through 7 September 2026. Default contract rule: One-time package covers moving, settling-in, temporary lodging, transport and onboarding support—not an annual incentive. Legal review determines salary and tax treatment.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8</xdr:row>
                <xdr:rowOff>21</xdr:rowOff>
              </xdr:to>
            </anchor>
          </commentPr>
        </mc:Choice>
        <mc:Fallback/>
      </mc:AlternateContent>
    </comment>
    <comment ref="L11" authorId="0">
      <text>
        <r>
          <rPr>
            <sz val="10"/>
            <rFont val="Arial"/>
            <family val="2"/>
          </rPr>
          <t xml:space="preserve">Source: management instructions in this task through 7 September 2026. Default contract rule: No international home leave or expat allowance by default.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5</xdr:row>
                <xdr:rowOff>1</xdr:rowOff>
              </xdr:to>
            </anchor>
          </commentPr>
        </mc:Choice>
        <mc:Fallback/>
      </mc:AlternateContent>
    </comment>
    <comment ref="L12" authorId="0">
      <text>
        <r>
          <rPr>
            <sz val="10"/>
            <rFont val="Arial"/>
            <family val="2"/>
          </rPr>
          <t xml:space="preserve">Source: management instructions in this task through 7 September 2026. Default contract rule: Operations Support headcount is budgeted, but the person, contract type and benefits remain to be defined.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55</xdr:colOff>
                <xdr:row>7</xdr:row>
                <xdr:rowOff>6</xdr:rowOff>
              </xdr:to>
            </anchor>
          </commentPr>
        </mc:Choice>
        <mc:Fallback/>
      </mc:AlternateContent>
    </comment>
  </commentList>
</comments>
</file>

<file path=xl/sharedStrings.xml><?xml version="1.0" encoding="utf-8"?>
<sst xmlns="http://schemas.openxmlformats.org/spreadsheetml/2006/main" count="433" uniqueCount="292">
  <si>
    <t xml:space="preserve">Personnel — Monthly Base Salary and Contract Classification</t>
  </si>
  <si>
    <t xml:space="preserve">COO / PU General Manager excluded and treated separately | Repatriates transition to Local — Venezuela from M7 after a one-time transition bonus</t>
  </si>
  <si>
    <t xml:space="preserve">USD | M1–M12 = annual base salary / 12 | One-time transition bonus is not included in monthly base salary | 8 people only</t>
  </si>
  <si>
    <t xml:space="preserve">#</t>
  </si>
  <si>
    <t xml:space="preserve">Position</t>
  </si>
  <si>
    <t xml:space="preserve">Person</t>
  </si>
  <si>
    <t xml:space="preserve">Contract Type M1–M6</t>
  </si>
  <si>
    <t xml:space="preserve">Expatriate?</t>
  </si>
  <si>
    <t xml:space="preserve">Work Arrangement</t>
  </si>
  <si>
    <t xml:space="preserve">M7+ Employment Basis</t>
  </si>
  <si>
    <t xml:space="preserve">One-Time Transition Bonus (M7)</t>
  </si>
  <si>
    <t xml:space="preserve">Classification Status</t>
  </si>
  <si>
    <t xml:space="preserve">Notes</t>
  </si>
  <si>
    <t xml:space="preserve">M1</t>
  </si>
  <si>
    <t xml:space="preserve">M2</t>
  </si>
  <si>
    <t xml:space="preserve">M3</t>
  </si>
  <si>
    <t xml:space="preserve">M4</t>
  </si>
  <si>
    <t xml:space="preserve">M5</t>
  </si>
  <si>
    <t xml:space="preserve">M6</t>
  </si>
  <si>
    <t xml:space="preserve">M7</t>
  </si>
  <si>
    <t xml:space="preserve">M8</t>
  </si>
  <si>
    <t xml:space="preserve">M9</t>
  </si>
  <si>
    <t xml:space="preserve">M10</t>
  </si>
  <si>
    <t xml:space="preserve">M11</t>
  </si>
  <si>
    <t xml:space="preserve">M12</t>
  </si>
  <si>
    <t xml:space="preserve">Base Salary Annual</t>
  </si>
  <si>
    <t xml:space="preserve">EPCM &amp; Engineering Manager</t>
  </si>
  <si>
    <t xml:space="preserve">Juan Conde</t>
  </si>
  <si>
    <t xml:space="preserve">Repatriate</t>
  </si>
  <si>
    <t xml:space="preserve">Fixed</t>
  </si>
  <si>
    <t xml:space="preserve">Eligible — one-time; 1.50x monthly salary</t>
  </si>
  <si>
    <t xml:space="preserve">Confirmed</t>
  </si>
  <si>
    <t xml:space="preserve">Repatriate; transitions to Local — Venezuela from M7 after the one-time transition package.</t>
  </si>
  <si>
    <t xml:space="preserve">Drilling &amp; Well Services Manager</t>
  </si>
  <si>
    <t xml:space="preserve">Alexander Stulme</t>
  </si>
  <si>
    <t xml:space="preserve">Repatriate; initially appointed General Manager of PU on secondment; transitions to Local — Venezuela from M7 after the one-time transition package.</t>
  </si>
  <si>
    <t xml:space="preserve">Operations &amp; Maintenance Manager</t>
  </si>
  <si>
    <t xml:space="preserve">Félix Valderrama</t>
  </si>
  <si>
    <t xml:space="preserve">Technical Manager (Geosciences)</t>
  </si>
  <si>
    <t xml:space="preserve">Alan McKeon</t>
  </si>
  <si>
    <t xml:space="preserve">Expat</t>
  </si>
  <si>
    <t xml:space="preserve">Not applicable</t>
  </si>
  <si>
    <t xml:space="preserve">Expat; initially appointed Technical Manager of PU on secondment. From M7: $2,000/month housing allowance and two home leaves.</t>
  </si>
  <si>
    <t xml:space="preserve">Reservoir Engineer</t>
  </si>
  <si>
    <t xml:space="preserve">JJI</t>
  </si>
  <si>
    <t xml:space="preserve">Local</t>
  </si>
  <si>
    <t xml:space="preserve">Assumption</t>
  </si>
  <si>
    <t xml:space="preserve">Remote role. Local / Fixed is an editable assumption pending confirmation.</t>
  </si>
  <si>
    <t xml:space="preserve">Rig Company Man</t>
  </si>
  <si>
    <t xml:space="preserve">Marcelo Dantas</t>
  </si>
  <si>
    <t xml:space="preserve">Rotation</t>
  </si>
  <si>
    <t xml:space="preserve">Rotation confirmed from prior instructions; Expat contract is an editable assumption.</t>
  </si>
  <si>
    <t xml:space="preserve">Planning &amp; PMO</t>
  </si>
  <si>
    <t xml:space="preserve">Jose Miguel</t>
  </si>
  <si>
    <t xml:space="preserve">Local in Maracaibo or staff house; no cash housing allowance by default.</t>
  </si>
  <si>
    <t xml:space="preserve">Operations Support</t>
  </si>
  <si>
    <t xml:space="preserve">TBD — Person to be defined</t>
  </si>
  <si>
    <t xml:space="preserve">TBD</t>
  </si>
  <si>
    <t xml:space="preserve">Open position. Person, contract type, work arrangement and benefits are to be defined. Salary remains a budget placeholder from the source table.</t>
  </si>
  <si>
    <t xml:space="preserve">TOTAL — 8 PEOPLE (COO EXCLUDED)</t>
  </si>
  <si>
    <t xml:space="preserve">CLASSIFICATION SUMMARY</t>
  </si>
  <si>
    <t xml:space="preserve">Metric</t>
  </si>
  <si>
    <t xml:space="preserve">Count</t>
  </si>
  <si>
    <t xml:space="preserve">Meaning</t>
  </si>
  <si>
    <t xml:space="preserve">M1–M6 contract type Expat</t>
  </si>
  <si>
    <t xml:space="preserve">Transition to Local — Venezuela from M7</t>
  </si>
  <si>
    <t xml:space="preserve">Local contract from M1 through M12</t>
  </si>
  <si>
    <t xml:space="preserve">Contract type TBD</t>
  </si>
  <si>
    <t xml:space="preserve">Open position; contract type is to be defined</t>
  </si>
  <si>
    <t xml:space="preserve">Fixed work arrangement</t>
  </si>
  <si>
    <t xml:space="preserve">Rotation work arrangement</t>
  </si>
  <si>
    <t xml:space="preserve">Work arrangement TBD</t>
  </si>
  <si>
    <t xml:space="preserve">Open position; work arrangement is to be defined</t>
  </si>
  <si>
    <t xml:space="preserve">One-time transition packages</t>
  </si>
  <si>
    <t xml:space="preserve">M7 only; core package = 1.50x monthly salary</t>
  </si>
  <si>
    <t xml:space="preserve">Assumptions to confirm</t>
  </si>
  <si>
    <t xml:space="preserve">Editable classifications requiring confirmation</t>
  </si>
  <si>
    <t xml:space="preserve">Monthly Personnel Cost — Salary, Health Care, M7 Transition and Alan Expat Benefits</t>
  </si>
  <si>
    <t xml:space="preserve">M1–M6 = Salary + Health Care | M7 includes Repatriation Package and Alan housing | M8–M12 include approved Alan expatriate benefits</t>
  </si>
  <si>
    <t xml:space="preserve">USD | Housing is $2,000/month from M7 for Alan's family relocation to Maracaibo | Two $6,000 home leaves scheduled in M9 and M12</t>
  </si>
  <si>
    <t xml:space="preserve">M1–M6 Contract</t>
  </si>
  <si>
    <t xml:space="preserve">Salary / Month</t>
  </si>
  <si>
    <t xml:space="preserve">Health Care / Year</t>
  </si>
  <si>
    <t xml:space="preserve">Health Care / Month</t>
  </si>
  <si>
    <t xml:space="preserve">M1
Salary + Health</t>
  </si>
  <si>
    <t xml:space="preserve">M2
Salary + Health</t>
  </si>
  <si>
    <t xml:space="preserve">M3
Salary + Health</t>
  </si>
  <si>
    <t xml:space="preserve">M4
Salary + Health</t>
  </si>
  <si>
    <t xml:space="preserve">M5
Salary + Health</t>
  </si>
  <si>
    <t xml:space="preserve">M6
Salary + Health</t>
  </si>
  <si>
    <t xml:space="preserve">M7
One-Time Package</t>
  </si>
  <si>
    <t xml:space="preserve">M7
Recurring Cost</t>
  </si>
  <si>
    <t xml:space="preserve">M7
Total Cost</t>
  </si>
  <si>
    <t xml:space="preserve">M8
Total Cost</t>
  </si>
  <si>
    <t xml:space="preserve">M9
Total Cost</t>
  </si>
  <si>
    <t xml:space="preserve">M10
Total Cost</t>
  </si>
  <si>
    <t xml:space="preserve">M11
Total Cost</t>
  </si>
  <si>
    <t xml:space="preserve">M12
Total Cost</t>
  </si>
  <si>
    <t xml:space="preserve">Year 1
Total Cost</t>
  </si>
  <si>
    <t xml:space="preserve">M7+ Housing
/ Month</t>
  </si>
  <si>
    <t xml:space="preserve">Home Leave
/ Trip</t>
  </si>
  <si>
    <t xml:space="preserve">Family Relocation
/ City</t>
  </si>
  <si>
    <t xml:space="preserve">TOTAL — 8 POSITIONS (COO EXCLUDED)</t>
  </si>
  <si>
    <t xml:space="preserve">Alan family relocation to Maracaibo</t>
  </si>
  <si>
    <t xml:space="preserve">COST SUMMARY</t>
  </si>
  <si>
    <t xml:space="preserve">Cost basis: from M7 onward, the recurring model is Salary + Health Care for all personnel, plus Alan McKeon's approved $2,000/month housing allowance for family relocation to Maracaibo. Alan also receives two $6,000 home leaves, planned in M9 and M12. M7 separately adds the one-time Repatriation / Localisation Transition Package for eligible Repatriates. Housing for any future family relocation to Maracaibo should be modeled at a minimum of $2,000/month after management approval. Tax, social charges, statutory benefits, transport, hotel/staff house and any other benefits remain outside this Monthly Costs view unless separately approved.</t>
  </si>
  <si>
    <t xml:space="preserve">Amount</t>
  </si>
  <si>
    <t xml:space="preserve">Formula / Meaning</t>
  </si>
  <si>
    <t xml:space="preserve">Monthly salary</t>
  </si>
  <si>
    <t xml:space="preserve">Recurring base salary cost</t>
  </si>
  <si>
    <t xml:space="preserve">Monthly health care</t>
  </si>
  <si>
    <t xml:space="preserve">Recurring medical insurance cost</t>
  </si>
  <si>
    <t xml:space="preserve">M1–M6 recurring monthly cost</t>
  </si>
  <si>
    <t xml:space="preserve">Salary + health care before M7</t>
  </si>
  <si>
    <t xml:space="preserve">M7 one-time package</t>
  </si>
  <si>
    <t xml:space="preserve">Repatriation / localisation package for the three repatriates</t>
  </si>
  <si>
    <t xml:space="preserve">Alan M7+ housing allowance</t>
  </si>
  <si>
    <t xml:space="preserve">Six months at $2,000/month for family relocation to Maracaibo</t>
  </si>
  <si>
    <t xml:space="preserve">Alan home leave cost</t>
  </si>
  <si>
    <t xml:space="preserve">Two trips at $6,000 each, scheduled in M9 and M12</t>
  </si>
  <si>
    <t xml:space="preserve">M7 recurring cost</t>
  </si>
  <si>
    <t xml:space="preserve">Salary + health care plus Alan's approved housing allowance</t>
  </si>
  <si>
    <t xml:space="preserve">M7 total cost</t>
  </si>
  <si>
    <t xml:space="preserve">One-time package + recurring M7 cost</t>
  </si>
  <si>
    <t xml:space="preserve">Year 1 recurring cost</t>
  </si>
  <si>
    <t xml:space="preserve">Salary + health care, Alan housing from M7 and two home leaves</t>
  </si>
  <si>
    <t xml:space="preserve">Year 1 one-time package</t>
  </si>
  <si>
    <t xml:space="preserve">M7 transition package only</t>
  </si>
  <si>
    <t xml:space="preserve">Year 1 total personnel cost</t>
  </si>
  <si>
    <t xml:space="preserve">All modeled salary, health care, Alan expat benefits and the one-time M7 package</t>
  </si>
  <si>
    <t xml:space="preserve">Alan McKeon — Expatriate Package from M7</t>
  </si>
  <si>
    <t xml:space="preserve">Family relocation to Maracaibo | Housing allowance and two home leaves are costed from M7 onward</t>
  </si>
  <si>
    <t xml:space="preserve">USD | Inputs in blue are editable | Housing minimum for approved family relocation to Maracaibo = $2,000/month</t>
  </si>
  <si>
    <t xml:space="preserve">Benefit / Assumption</t>
  </si>
  <si>
    <t xml:space="preserve">Value</t>
  </si>
  <si>
    <t xml:space="preserve">Unit</t>
  </si>
  <si>
    <t xml:space="preserve">Timing</t>
  </si>
  <si>
    <t xml:space="preserve">Cost Treatment</t>
  </si>
  <si>
    <t xml:space="preserve">Approval / Notes</t>
  </si>
  <si>
    <t xml:space="preserve">Housing allowance</t>
  </si>
  <si>
    <t xml:space="preserve">USD / month</t>
  </si>
  <si>
    <t xml:space="preserve">M7–M12</t>
  </si>
  <si>
    <t xml:space="preserve">Included in Monthly Costs</t>
  </si>
  <si>
    <t xml:space="preserve">Approved minimum for Alan's family relocation to Maracaibo.</t>
  </si>
  <si>
    <t xml:space="preserve">Home leave per trip</t>
  </si>
  <si>
    <t xml:space="preserve">USD / trip</t>
  </si>
  <si>
    <t xml:space="preserve">M7+</t>
  </si>
  <si>
    <t xml:space="preserve">Two home leaves per year; timing is editable below.</t>
  </si>
  <si>
    <t xml:space="preserve">Home leaves per year</t>
  </si>
  <si>
    <t xml:space="preserve">Trips</t>
  </si>
  <si>
    <t xml:space="preserve">Use trip count to calculate annual cost.</t>
  </si>
  <si>
    <t xml:space="preserve">Home leave trip 1 month</t>
  </si>
  <si>
    <t xml:space="preserve">Month</t>
  </si>
  <si>
    <t xml:space="preserve">Editable planning month; must be between M7 and M12.</t>
  </si>
  <si>
    <t xml:space="preserve">Home leave trip 2 month</t>
  </si>
  <si>
    <t xml:space="preserve">Family relocation city</t>
  </si>
  <si>
    <t xml:space="preserve">Maracaibo</t>
  </si>
  <si>
    <t xml:space="preserve">City</t>
  </si>
  <si>
    <t xml:space="preserve">Housing allowance applies</t>
  </si>
  <si>
    <t xml:space="preserve">Housing minimum of $2,000/month applies to approved family relocation in Maracaibo.</t>
  </si>
  <si>
    <t xml:space="preserve">M7–M12 COST SUMMARY</t>
  </si>
  <si>
    <t xml:space="preserve">Calculation / Meaning</t>
  </si>
  <si>
    <t xml:space="preserve">Housing, M7–M12</t>
  </si>
  <si>
    <t xml:space="preserve">Six months at the approved $2,000/month housing allowance.</t>
  </si>
  <si>
    <t xml:space="preserve">Home leave, M7–M12</t>
  </si>
  <si>
    <t xml:space="preserve">Two trips at the approved $6,000 per trip.</t>
  </si>
  <si>
    <t xml:space="preserve">Total Alan expat benefits</t>
  </si>
  <si>
    <t xml:space="preserve">Housing plus home leaves, excluding salary and health care.</t>
  </si>
  <si>
    <t xml:space="preserve">Policy note: for Alan McKeon's approved family relocation to Maracaibo, the model includes a minimum $2,000/month housing allowance from M7 and two $6,000 home leaves. For any future approved family relocation to Maracaibo, apply at least the same $2,000/month housing allowance unless management approves a higher package. Tax, social charges and any payroll treatment are not modeled here and require specialist review.</t>
  </si>
  <si>
    <t xml:space="preserve">One-Time Repatriation / Localisation Transition Package</t>
  </si>
  <si>
    <t xml:space="preserve">M7 only — moving, settling-in and onboarding costs | Excludes recurring benefits and approved housing</t>
  </si>
  <si>
    <t xml:space="preserve">USD | Editable assumptions in blue | Multipliers are expressed as months of monthly base salary</t>
  </si>
  <si>
    <t xml:space="preserve">CORE PACKAGE COMPONENTS — APPLIES ONLY TO REPATRIATES UPON LOCALISATION IN M7</t>
  </si>
  <si>
    <t xml:space="preserve">Component</t>
  </si>
  <si>
    <t xml:space="preserve">Months of Monthly Salary</t>
  </si>
  <si>
    <t xml:space="preserve">Payment Method</t>
  </si>
  <si>
    <t xml:space="preserve">Included Costs</t>
  </si>
  <si>
    <t xml:space="preserve">Policy Treatment</t>
  </si>
  <si>
    <t xml:space="preserve">Moving &amp; household-goods support</t>
  </si>
  <si>
    <t xml:space="preserve">One-time allowance / reimbursement</t>
  </si>
  <si>
    <t xml:space="preserve">Packing, shipment, excess baggage and local move-related costs.</t>
  </si>
  <si>
    <t xml:space="preserve">Use documented reimbursement or capped allowance; exclude any recurring storage.</t>
  </si>
  <si>
    <t xml:space="preserve">Settling-in &amp; incidental expenses</t>
  </si>
  <si>
    <t xml:space="preserve">One-time allowance</t>
  </si>
  <si>
    <t xml:space="preserve">Utilities, connection charges, phone / internet setup and small household items.</t>
  </si>
  <si>
    <t xml:space="preserve">Capped allowance for incidentals not reimbursed elsewhere.</t>
  </si>
  <si>
    <t xml:space="preserve">Temporary lodging &amp; local setup</t>
  </si>
  <si>
    <t xml:space="preserve">One-time allowance / direct payment</t>
  </si>
  <si>
    <t xml:space="preserve">Initial hotel or staff-house transition and practical local setup.</t>
  </si>
  <si>
    <t xml:space="preserve">Use direct company payment where possible; do not duplicate approved housing.</t>
  </si>
  <si>
    <t xml:space="preserve">Local transport &amp; first-mile setup</t>
  </si>
  <si>
    <t xml:space="preserve">Arrival transport, local mobility and initial work-access setup.</t>
  </si>
  <si>
    <t xml:space="preserve">One-time transition support; company commuting transport remains a separate local benefit.</t>
  </si>
  <si>
    <t xml:space="preserve">Documentation, payroll &amp; tax onboarding</t>
  </si>
  <si>
    <t xml:space="preserve">Direct payment / reimbursement</t>
  </si>
  <si>
    <t xml:space="preserve">Local documentation, payroll onboarding and transition tax consultation.</t>
  </si>
  <si>
    <t xml:space="preserve">Prefer direct payment or reimbursement against documentation.</t>
  </si>
  <si>
    <t xml:space="preserve">TOTAL CORE PACKAGE</t>
  </si>
  <si>
    <t xml:space="preserve">EXCLUDED FROM THE ONE-TIME PACKAGE — MANAGED SEPARATELY</t>
  </si>
  <si>
    <t xml:space="preserve">Excluded Item</t>
  </si>
  <si>
    <t xml:space="preserve">Reason</t>
  </si>
  <si>
    <t xml:space="preserve">Base salary</t>
  </si>
  <si>
    <t xml:space="preserve">Already reflected in M1–M12; not a transition cost.</t>
  </si>
  <si>
    <t xml:space="preserve">Medical insurance</t>
  </si>
  <si>
    <t xml:space="preserve">M1–M6 and M7+ benefit; not part of the one-time package.</t>
  </si>
  <si>
    <t xml:space="preserve">Housing / staff house / hotel</t>
  </si>
  <si>
    <t xml:space="preserve">Approved separately by city and individual package; do not duplicate in the allowance.</t>
  </si>
  <si>
    <t xml:space="preserve">Company transport to work</t>
  </si>
  <si>
    <t xml:space="preserve">Ongoing local benefit, where approved; not a transition payment.</t>
  </si>
  <si>
    <t xml:space="preserve">Home leave, stock options, annual incentive and vacation</t>
  </si>
  <si>
    <t xml:space="preserve">Only where separately approved; not included in the repatriation package.</t>
  </si>
  <si>
    <t xml:space="preserve">Venezuelan statutory payroll benefits and taxes</t>
  </si>
  <si>
    <t xml:space="preserve">Apply according to local legal, tax and payroll review.</t>
  </si>
  <si>
    <t xml:space="preserve">M7 TRANSITION PACKAGE CALCULATION — REPATRIATES ONLY</t>
  </si>
  <si>
    <t xml:space="preserve">Monthly Base Salary</t>
  </si>
  <si>
    <t xml:space="preserve">Core Package Multiple</t>
  </si>
  <si>
    <t xml:space="preserve">One-Time Package Cost</t>
  </si>
  <si>
    <t xml:space="preserve">M7 Employment Basis</t>
  </si>
  <si>
    <t xml:space="preserve">Approval Status</t>
  </si>
  <si>
    <t xml:space="preserve">Pending individual approval</t>
  </si>
  <si>
    <t xml:space="preserve">Core 1.50x package; benefits and housing remain outside this calculation.</t>
  </si>
  <si>
    <t xml:space="preserve">TOTAL ONE-TIME M7 PACKAGE</t>
  </si>
  <si>
    <t xml:space="preserve">Policy guardrail: the package is a one-time M7 transition support. Use the component-level multipliers above as planning assumptions; pay direct suppliers or reimburse documented costs where possible, and do not duplicate approved housing, hotel, staff-house, medical or transport benefits. Before payment, Venezuelan legal, tax and HR advisers must confirm the correct payroll, tax, social-security and salary-character treatment.</t>
  </si>
  <si>
    <t xml:space="preserve">PU-Paid Secondments and Net Cost after Secondments</t>
  </si>
  <si>
    <t xml:space="preserve">Alexander Stulme, Alan McKeon and Martin Aguero initially serve as Petrourdaneta secondees — PU pays their costs</t>
  </si>
  <si>
    <t xml:space="preserve">USD | Gross cost less PU-paid secondments = net cost | Martin Aguero salary of $180,000/year is included; his benefits remain TBD</t>
  </si>
  <si>
    <t xml:space="preserve">BIG NOTE — Initial PU Secondments: Alexander Stulme (General Manager), Alan McKeon (Technical Manager) and Martin Aguero (Infra Manager) are secondees in Petrourdaneta. PU pays their costs. This sheet deducts the known modeled costs for Alexander and Alan and deducts Martin Aguero's known $180,000 annual salary ($15,000/month) from the gross Monthly Costs to provide the net cost. Martin's medical, housing, home leave and other benefits remain TBD and are not deducted until entered. For repatriates becoming local, individual income tax is assumed to be the employee's responsibility in the country of origin; no company tax gross-up or double-taxation cost is modeled. Expat tax support remains outside the model unless separately approved.</t>
  </si>
  <si>
    <t xml:space="preserve">Initial PU Role</t>
  </si>
  <si>
    <t xml:space="preserve">PU Cost Status</t>
  </si>
  <si>
    <t xml:space="preserve">Year 1 PU-Paid Cost</t>
  </si>
  <si>
    <t xml:space="preserve">General Manager</t>
  </si>
  <si>
    <t xml:space="preserve">Known — calculated from Monthly Costs</t>
  </si>
  <si>
    <t xml:space="preserve">Technical Manager</t>
  </si>
  <si>
    <t xml:space="preserve">Known — calculated from Monthly Costs, including expat benefits</t>
  </si>
  <si>
    <t xml:space="preserve">Martin Aguero</t>
  </si>
  <si>
    <t xml:space="preserve">Infra Manager</t>
  </si>
  <si>
    <t xml:space="preserve">Salary known — $180,000/year; benefits TBD and excluded</t>
  </si>
  <si>
    <t xml:space="preserve">TOTAL PU-PAID SECONDMENT COST</t>
  </si>
  <si>
    <t xml:space="preserve">GROSS TO NET MONTHLY AND ANNUAL COST — AFTER KNOWN PU-PAID SECONDMENTS</t>
  </si>
  <si>
    <t xml:space="preserve">Year 1</t>
  </si>
  <si>
    <t xml:space="preserve">Gross Monthly Costs</t>
  </si>
  <si>
    <t xml:space="preserve">Less: PU-Paid Secondments</t>
  </si>
  <si>
    <t xml:space="preserve">Net Cost after Known PU Secondments</t>
  </si>
  <si>
    <t xml:space="preserve">Net cost is provisional. It deducts the known PU-paid modeled costs for Alexander Stulme and Alan McKeon, plus Martin Aguero's known $15,000/month salary. Martin Aguero's health care, housing, home leave and any other approved benefits remain to be defined; once entered, they will reduce the net monthly and annual budget further.</t>
  </si>
  <si>
    <t xml:space="preserve">Contract and Benefit Rules by Stage</t>
  </si>
  <si>
    <t xml:space="preserve">Default policy view — individual packages may override these rules | One Operations Support position remains open (TBD)</t>
  </si>
  <si>
    <t xml:space="preserve">M1–M6 is initial stage | From M7 Repatriates operate as Local — Venezuela | Policy is subject to legal and HR validation</t>
  </si>
  <si>
    <t xml:space="preserve">M1–M6 Benefits</t>
  </si>
  <si>
    <t xml:space="preserve">M7+ Medical</t>
  </si>
  <si>
    <t xml:space="preserve">M7+ Housing</t>
  </si>
  <si>
    <t xml:space="preserve">M7+ Tax Treatment</t>
  </si>
  <si>
    <t xml:space="preserve">M7+ Costed Benefits</t>
  </si>
  <si>
    <t xml:space="preserve">Default Status</t>
  </si>
  <si>
    <t xml:space="preserve">Policy Notes</t>
  </si>
  <si>
    <t xml:space="preserve">People Count</t>
  </si>
  <si>
    <t xml:space="preserve">Medical insurance only</t>
  </si>
  <si>
    <t xml:space="preserve">Continues as Expat assignment</t>
  </si>
  <si>
    <t xml:space="preserve">Health care costed monthly</t>
  </si>
  <si>
    <t xml:space="preserve">Alan exception: $2,000/month from M7 for approved family relocation to Maracaibo; otherwise separate approval required</t>
  </si>
  <si>
    <t xml:space="preserve">No expat tax support or gross-up is modeled unless separately approved</t>
  </si>
  <si>
    <t xml:space="preserve">Salary + health care; Alan exception includes housing and two home leaves from M7</t>
  </si>
  <si>
    <t xml:space="preserve">Provisional</t>
  </si>
  <si>
    <t xml:space="preserve">No universal oil-and-gas benefit grid; package must reflect role, location and contract.</t>
  </si>
  <si>
    <t xml:space="preserve">Local — Venezuela from M7; document local payroll / employment basis</t>
  </si>
  <si>
    <t xml:space="preserve">Not costed in Monthly Costs; separate approval required</t>
  </si>
  <si>
    <t xml:space="preserve">Employee assumed to pay individual income tax in country of origin; no company tax gross-up or double-taxation cost modeled</t>
  </si>
  <si>
    <t xml:space="preserve">Salary + health care only in Monthly Costs; statutory and other benefits are outside this cost model</t>
  </si>
  <si>
    <t xml:space="preserve">Eligible once at M7; core package = 1.50x monthly salary; not recurring; see Repatriation Package</t>
  </si>
  <si>
    <t xml:space="preserve">Confirmed policy direction</t>
  </si>
  <si>
    <t xml:space="preserve">One-time package covers moving, settling-in, temporary lodging, transport and onboarding support—not an annual incentive. Legal review determines salary and tax treatment.</t>
  </si>
  <si>
    <t xml:space="preserve">Local — Venezuela</t>
  </si>
  <si>
    <t xml:space="preserve">No international home leave or expat allowance by default.</t>
  </si>
  <si>
    <t xml:space="preserve">Not defined until person and contract are approved</t>
  </si>
  <si>
    <t xml:space="preserve">Not defined</t>
  </si>
  <si>
    <t xml:space="preserve">Open position</t>
  </si>
  <si>
    <t xml:space="preserve">Operations Support headcount is budgeted, but the person, contract type and benefits remain to be defined.</t>
  </si>
  <si>
    <t xml:space="preserve">WORK ARRANGEMENT RULES</t>
  </si>
  <si>
    <t xml:space="preserve">Application</t>
  </si>
  <si>
    <t xml:space="preserve">M1–M6</t>
  </si>
  <si>
    <t xml:space="preserve">M7+ Housing / Lodging</t>
  </si>
  <si>
    <t xml:space="preserve">M7+ Travel / Leave</t>
  </si>
  <si>
    <t xml:space="preserve">Continuous assignment to the role</t>
  </si>
  <si>
    <t xml:space="preserve">Based on contract type, city and approved package</t>
  </si>
  <si>
    <t xml:space="preserve">According to contract type / local policy</t>
  </si>
  <si>
    <t xml:space="preserve">JJI is Fixed but Remote; Remote is noted separately.</t>
  </si>
  <si>
    <t xml:space="preserve">Roster-based presence in Venezuela</t>
  </si>
  <si>
    <t xml:space="preserve">Hotel, staff house or rotational lodging; avoid duplicate permanent housing</t>
  </si>
  <si>
    <t xml:space="preserve">Rotation roster travel replaces or supplements home leave only if approved</t>
  </si>
  <si>
    <t xml:space="preserve">Marcelo Dantas is currently shown as Rotation.</t>
  </si>
  <si>
    <t xml:space="preserve">To be determined with the selected Operations Support employee</t>
  </si>
  <si>
    <t xml:space="preserve">Operations Support is an open position.</t>
  </si>
  <si>
    <t xml:space="preserve">Policy decision recorded: every Repatriate receives only a one-time M7 transition / repatriation package and thereafter is treated as Local — Venezuela. The current core package is 1.50 months of monthly base salary and is itemised on the Repatriation Package tab. It is not a recurring bonus and is excluded from the monthly base salary. For repatriates becoming local, the planning assumption is that individual income tax is due in the employee's country of origin; no company tax gross-up or double-taxation cost is modeled. The amount, whether it is salary for Venezuelan labor purposes, the payroll / tax / social-security treatment, immigration status, and local statutory benefits must be approved by Venezuelan legal, tax and HR advisers before implementation. Venezuelan rules apply to employment relationships performed in Venezuela, irrespective of nationality.</t>
  </si>
</sst>
</file>

<file path=xl/styles.xml><?xml version="1.0" encoding="utf-8"?>
<styleSheet xmlns="http://schemas.openxmlformats.org/spreadsheetml/2006/main">
  <numFmts count="6">
    <numFmt numFmtId="164" formatCode="General"/>
    <numFmt numFmtId="165" formatCode="\$#,##0.0;[RED]&quot;($&quot;#,##0.0\);\-"/>
    <numFmt numFmtId="166" formatCode="#,##0.0;[RED]\(#,##0.0\);\-"/>
    <numFmt numFmtId="167" formatCode="#,##0"/>
    <numFmt numFmtId="168" formatCode="General"/>
    <numFmt numFmtId="169" formatCode="0.00\x"/>
  </numFmts>
  <fonts count="13">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b val="true"/>
      <sz val="11"/>
      <color rgb="FF000000"/>
      <name val="Arial"/>
      <family val="0"/>
      <charset val="1"/>
    </font>
    <font>
      <i val="true"/>
      <sz val="9"/>
      <color rgb="FF666666"/>
      <name val="Arial"/>
      <family val="0"/>
      <charset val="1"/>
    </font>
    <font>
      <b val="true"/>
      <sz val="10"/>
      <color rgb="FF000000"/>
      <name val="Arial"/>
      <family val="0"/>
      <charset val="1"/>
    </font>
    <font>
      <sz val="10"/>
      <color rgb="FF0000FF"/>
      <name val="Arial"/>
      <family val="0"/>
      <charset val="1"/>
    </font>
    <font>
      <sz val="10"/>
      <color rgb="FF000000"/>
      <name val="Arial"/>
      <family val="0"/>
      <charset val="1"/>
    </font>
    <font>
      <sz val="10"/>
      <name val="Arial"/>
      <family val="2"/>
    </font>
    <font>
      <sz val="10"/>
      <color rgb="FF008000"/>
      <name val="Arial"/>
      <family val="0"/>
      <charset val="1"/>
    </font>
    <font>
      <b val="true"/>
      <sz val="10"/>
      <color rgb="FFC00000"/>
      <name val="Arial"/>
      <family val="0"/>
      <charset val="1"/>
    </font>
  </fonts>
  <fills count="5">
    <fill>
      <patternFill patternType="none"/>
    </fill>
    <fill>
      <patternFill patternType="gray125"/>
    </fill>
    <fill>
      <patternFill patternType="solid">
        <fgColor rgb="FF135B44"/>
        <bgColor rgb="FF333333"/>
      </patternFill>
    </fill>
    <fill>
      <patternFill patternType="solid">
        <fgColor rgb="FFCFE9E0"/>
        <bgColor rgb="FFCCFFFF"/>
      </patternFill>
    </fill>
    <fill>
      <patternFill patternType="solid">
        <fgColor rgb="FFFFF2CC"/>
        <bgColor rgb="FFFFFFFF"/>
      </patternFill>
    </fill>
  </fills>
  <borders count="5">
    <border diagonalUp="false" diagonalDown="false">
      <left/>
      <right/>
      <top/>
      <bottom/>
      <diagonal/>
    </border>
    <border diagonalUp="false" diagonalDown="false">
      <left style="thin">
        <color rgb="FFB7B7B7"/>
      </left>
      <right/>
      <top style="thin">
        <color rgb="FFB7B7B7"/>
      </top>
      <bottom style="thin">
        <color rgb="FFB7B7B7"/>
      </bottom>
      <diagonal/>
    </border>
    <border diagonalUp="false" diagonalDown="false">
      <left/>
      <right/>
      <top style="thin">
        <color rgb="FFB7B7B7"/>
      </top>
      <bottom style="thin">
        <color rgb="FFB7B7B7"/>
      </bottom>
      <diagonal/>
    </border>
    <border diagonalUp="false" diagonalDown="false">
      <left/>
      <right style="thin">
        <color rgb="FFB7B7B7"/>
      </right>
      <top style="thin">
        <color rgb="FFB7B7B7"/>
      </top>
      <bottom style="thin">
        <color rgb="FFB7B7B7"/>
      </bottom>
      <diagonal/>
    </border>
    <border diagonalUp="false" diagonalDown="false">
      <left/>
      <right/>
      <top style="medium"/>
      <bottom style="double"/>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7" fillId="3" borderId="2" xfId="0" applyFont="true" applyBorder="true" applyAlignment="true" applyProtection="false">
      <alignment horizontal="center" vertical="center" textRotation="0" wrapText="true" indent="0" shrinkToFit="false"/>
      <protection locked="true" hidden="false"/>
    </xf>
    <xf numFmtId="164" fontId="7" fillId="3" borderId="3"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right" vertical="center" textRotation="0" wrapText="false" indent="0" shrinkToFit="false"/>
      <protection locked="true" hidden="false"/>
    </xf>
    <xf numFmtId="164" fontId="8" fillId="0" borderId="2" xfId="0" applyFont="true" applyBorder="true" applyAlignment="true" applyProtection="false">
      <alignment horizontal="left" vertical="center" textRotation="0" wrapText="true" indent="0" shrinkToFit="false"/>
      <protection locked="true" hidden="false"/>
    </xf>
    <xf numFmtId="164" fontId="8" fillId="0" borderId="2" xfId="0" applyFont="true" applyBorder="true" applyAlignment="true" applyProtection="false">
      <alignment horizontal="left" vertical="center" textRotation="0" wrapText="false" indent="0" shrinkToFit="false"/>
      <protection locked="true" hidden="false"/>
    </xf>
    <xf numFmtId="164" fontId="8" fillId="0" borderId="2" xfId="0" applyFont="true" applyBorder="true" applyAlignment="true" applyProtection="false">
      <alignment horizontal="center" vertical="center" textRotation="0" wrapText="false" indent="0" shrinkToFit="false"/>
      <protection locked="true" hidden="false"/>
    </xf>
    <xf numFmtId="164" fontId="9" fillId="0" borderId="2" xfId="0" applyFont="true" applyBorder="true" applyAlignment="true" applyProtection="false">
      <alignment horizontal="center" vertical="center" textRotation="0" wrapText="false" indent="0" shrinkToFit="false"/>
      <protection locked="true" hidden="false"/>
    </xf>
    <xf numFmtId="164" fontId="9" fillId="0" borderId="2" xfId="0" applyFont="true" applyBorder="true" applyAlignment="true" applyProtection="false">
      <alignment horizontal="center" vertical="center" textRotation="0" wrapText="true" indent="0" shrinkToFit="false"/>
      <protection locked="true" hidden="false"/>
    </xf>
    <xf numFmtId="164" fontId="8" fillId="0" borderId="2" xfId="0" applyFont="true" applyBorder="true" applyAlignment="true" applyProtection="false">
      <alignment horizontal="center" vertical="center" textRotation="0" wrapText="true" indent="0" shrinkToFit="false"/>
      <protection locked="true" hidden="false"/>
    </xf>
    <xf numFmtId="165" fontId="9" fillId="0" borderId="2" xfId="0" applyFont="true" applyBorder="true" applyAlignment="true" applyProtection="false">
      <alignment horizontal="right" vertical="center" textRotation="0" wrapText="false" indent="0" shrinkToFit="false"/>
      <protection locked="true" hidden="false"/>
    </xf>
    <xf numFmtId="166" fontId="9" fillId="0" borderId="2" xfId="0" applyFont="true" applyBorder="true" applyAlignment="true" applyProtection="false">
      <alignment horizontal="right" vertical="center" textRotation="0" wrapText="false" indent="0" shrinkToFit="false"/>
      <protection locked="true" hidden="false"/>
    </xf>
    <xf numFmtId="165" fontId="8" fillId="0" borderId="3" xfId="0" applyFont="true" applyBorder="true" applyAlignment="true" applyProtection="false">
      <alignment horizontal="right" vertical="center" textRotation="0" wrapText="false" indent="0" shrinkToFit="false"/>
      <protection locked="true" hidden="false"/>
    </xf>
    <xf numFmtId="166" fontId="8" fillId="0" borderId="3" xfId="0" applyFont="true" applyBorder="true" applyAlignment="true" applyProtection="false">
      <alignment horizontal="right" vertical="center" textRotation="0" wrapText="false" indent="0" shrinkToFit="false"/>
      <protection locked="true" hidden="false"/>
    </xf>
    <xf numFmtId="164" fontId="7" fillId="0" borderId="4" xfId="0" applyFont="true" applyBorder="true" applyAlignment="false" applyProtection="false">
      <alignment horizontal="general" vertical="bottom" textRotation="0" wrapText="false" indent="0" shrinkToFit="false"/>
      <protection locked="true" hidden="false"/>
    </xf>
    <xf numFmtId="165" fontId="9" fillId="0" borderId="4" xfId="0" applyFont="true" applyBorder="true" applyAlignment="true" applyProtection="false">
      <alignment horizontal="right" vertical="center" textRotation="0" wrapText="false" indent="0" shrinkToFit="false"/>
      <protection locked="true" hidden="false"/>
    </xf>
    <xf numFmtId="166" fontId="9" fillId="0" borderId="4" xfId="0" applyFont="true" applyBorder="true" applyAlignment="true" applyProtection="false">
      <alignment horizontal="right" vertical="center" textRotation="0" wrapText="false" indent="0" shrinkToFit="false"/>
      <protection locked="true" hidden="false"/>
    </xf>
    <xf numFmtId="164" fontId="7" fillId="3" borderId="0"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9" fillId="0" borderId="2" xfId="0" applyFont="true" applyBorder="true" applyAlignment="false" applyProtection="false">
      <alignment horizontal="general" vertical="bottom" textRotation="0" wrapText="false" indent="0" shrinkToFit="false"/>
      <protection locked="true" hidden="false"/>
    </xf>
    <xf numFmtId="164" fontId="9" fillId="0" borderId="3" xfId="0" applyFont="true" applyBorder="true" applyAlignment="false" applyProtection="false">
      <alignment horizontal="general" vertical="bottom" textRotation="0" wrapText="false" indent="0" shrinkToFit="false"/>
      <protection locked="true" hidden="false"/>
    </xf>
    <xf numFmtId="164" fontId="7" fillId="4" borderId="2"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4" fontId="11" fillId="0" borderId="2" xfId="0" applyFont="true" applyBorder="true" applyAlignment="true" applyProtection="false">
      <alignment horizontal="left" vertical="center" textRotation="0" wrapText="true" indent="0" shrinkToFit="false"/>
      <protection locked="true" hidden="false"/>
    </xf>
    <xf numFmtId="165" fontId="11" fillId="0" borderId="2" xfId="0" applyFont="true" applyBorder="true" applyAlignment="true" applyProtection="false">
      <alignment horizontal="right" vertical="center" textRotation="0" wrapText="false" indent="0" shrinkToFit="false"/>
      <protection locked="true" hidden="false"/>
    </xf>
    <xf numFmtId="166" fontId="8" fillId="0" borderId="2" xfId="0" applyFont="true" applyBorder="true" applyAlignment="true" applyProtection="false">
      <alignment horizontal="right" vertical="center" textRotation="0" wrapText="false" indent="0" shrinkToFit="false"/>
      <protection locked="true" hidden="false"/>
    </xf>
    <xf numFmtId="165" fontId="11" fillId="4" borderId="2" xfId="0" applyFont="true" applyBorder="true" applyAlignment="true" applyProtection="false">
      <alignment horizontal="right" vertical="center" textRotation="0" wrapText="false" indent="0" shrinkToFit="false"/>
      <protection locked="true" hidden="false"/>
    </xf>
    <xf numFmtId="165" fontId="9" fillId="4" borderId="2" xfId="0" applyFont="true" applyBorder="true" applyAlignment="true" applyProtection="false">
      <alignment horizontal="right" vertical="center" textRotation="0" wrapText="false" indent="0" shrinkToFit="false"/>
      <protection locked="true" hidden="false"/>
    </xf>
    <xf numFmtId="166" fontId="11" fillId="0" borderId="2" xfId="0" applyFont="true" applyBorder="true" applyAlignment="true" applyProtection="false">
      <alignment horizontal="right" vertical="center" textRotation="0" wrapText="false" indent="0" shrinkToFit="false"/>
      <protection locked="true" hidden="false"/>
    </xf>
    <xf numFmtId="168" fontId="11" fillId="0" borderId="3" xfId="0" applyFont="true" applyBorder="true" applyAlignment="true" applyProtection="false">
      <alignment horizontal="left" vertical="center" textRotation="0" wrapText="true" indent="0" shrinkToFit="false"/>
      <protection locked="true" hidden="false"/>
    </xf>
    <xf numFmtId="166" fontId="11" fillId="4" borderId="2" xfId="0" applyFont="true" applyBorder="true" applyAlignment="true" applyProtection="false">
      <alignment horizontal="right" vertical="center" textRotation="0" wrapText="false" indent="0" shrinkToFit="false"/>
      <protection locked="true" hidden="false"/>
    </xf>
    <xf numFmtId="166" fontId="9" fillId="4" borderId="2" xfId="0" applyFont="true" applyBorder="true" applyAlignment="true" applyProtection="false">
      <alignment horizontal="right" vertical="center" textRotation="0" wrapText="false" indent="0" shrinkToFit="false"/>
      <protection locked="true" hidden="false"/>
    </xf>
    <xf numFmtId="166" fontId="9" fillId="4" borderId="4" xfId="0" applyFont="true" applyBorder="true" applyAlignment="true" applyProtection="false">
      <alignment horizontal="right" vertical="center" textRotation="0" wrapText="false" indent="0" shrinkToFit="false"/>
      <protection locked="true" hidden="false"/>
    </xf>
    <xf numFmtId="164" fontId="7" fillId="0" borderId="4" xfId="0" applyFont="true" applyBorder="true" applyAlignment="true" applyProtection="false">
      <alignment horizontal="left" vertical="center" textRotation="0" wrapText="true" indent="0" shrinkToFit="false"/>
      <protection locked="true" hidden="false"/>
    </xf>
    <xf numFmtId="164" fontId="12" fillId="0" borderId="0" xfId="0" applyFont="true" applyBorder="true" applyAlignment="true" applyProtection="false">
      <alignment horizontal="left" vertical="top" textRotation="0" wrapText="true" indent="0" shrinkToFit="false"/>
      <protection locked="true" hidden="false"/>
    </xf>
    <xf numFmtId="165" fontId="9" fillId="0" borderId="2" xfId="0" applyFont="true" applyBorder="true" applyAlignment="false" applyProtection="false">
      <alignment horizontal="general" vertical="bottom" textRotation="0" wrapText="false" indent="0" shrinkToFit="false"/>
      <protection locked="true" hidden="false"/>
    </xf>
    <xf numFmtId="164" fontId="9" fillId="0" borderId="3" xfId="0" applyFont="true" applyBorder="true" applyAlignment="true" applyProtection="false">
      <alignment horizontal="left" vertical="center" textRotation="0" wrapText="true" indent="0" shrinkToFit="false"/>
      <protection locked="true" hidden="false"/>
    </xf>
    <xf numFmtId="166" fontId="9" fillId="0" borderId="2" xfId="0" applyFont="true" applyBorder="true" applyAlignment="false" applyProtection="false">
      <alignment horizontal="general" vertical="bottom" textRotation="0" wrapText="false" indent="0" shrinkToFit="false"/>
      <protection locked="true" hidden="false"/>
    </xf>
    <xf numFmtId="166" fontId="8" fillId="0" borderId="2" xfId="0" applyFont="true" applyBorder="true" applyAlignment="true" applyProtection="false">
      <alignment horizontal="right" vertical="center" textRotation="0" wrapText="true" indent="0" shrinkToFit="false"/>
      <protection locked="true" hidden="false"/>
    </xf>
    <xf numFmtId="164" fontId="8" fillId="0" borderId="3" xfId="0" applyFont="true" applyBorder="true" applyAlignment="true" applyProtection="false">
      <alignment horizontal="left" vertical="center" textRotation="0" wrapText="true" indent="0" shrinkToFit="false"/>
      <protection locked="true" hidden="false"/>
    </xf>
    <xf numFmtId="167" fontId="8" fillId="0" borderId="2" xfId="0" applyFont="true" applyBorder="true" applyAlignment="true" applyProtection="false">
      <alignment horizontal="right" vertical="center" textRotation="0" wrapText="true" indent="0" shrinkToFit="false"/>
      <protection locked="true" hidden="false"/>
    </xf>
    <xf numFmtId="169" fontId="8" fillId="0" borderId="2" xfId="0" applyFont="true" applyBorder="true" applyAlignment="true" applyProtection="false">
      <alignment horizontal="right"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9" fontId="9" fillId="0" borderId="2"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5" fontId="11" fillId="0" borderId="2" xfId="0" applyFont="true" applyBorder="true" applyAlignment="true" applyProtection="false">
      <alignment horizontal="right" vertical="center" textRotation="0" wrapText="true" indent="0" shrinkToFit="false"/>
      <protection locked="true" hidden="false"/>
    </xf>
    <xf numFmtId="169" fontId="9" fillId="0" borderId="2" xfId="0" applyFont="true" applyBorder="true" applyAlignment="true" applyProtection="false">
      <alignment horizontal="right" vertical="center" textRotation="0" wrapText="true" indent="0" shrinkToFit="false"/>
      <protection locked="true" hidden="false"/>
    </xf>
    <xf numFmtId="165" fontId="9" fillId="0" borderId="2" xfId="0" applyFont="true" applyBorder="true" applyAlignment="true" applyProtection="false">
      <alignment horizontal="right" vertical="center" textRotation="0" wrapText="true" indent="0" shrinkToFit="false"/>
      <protection locked="true" hidden="false"/>
    </xf>
    <xf numFmtId="166" fontId="11" fillId="0" borderId="2" xfId="0" applyFont="true" applyBorder="true" applyAlignment="true" applyProtection="false">
      <alignment horizontal="right" vertical="center" textRotation="0" wrapText="true" indent="0" shrinkToFit="false"/>
      <protection locked="true" hidden="false"/>
    </xf>
    <xf numFmtId="166" fontId="9" fillId="0" borderId="2" xfId="0" applyFont="true" applyBorder="true" applyAlignment="true" applyProtection="false">
      <alignment horizontal="right" vertical="center" textRotation="0" wrapText="true" indent="0" shrinkToFit="false"/>
      <protection locked="true" hidden="false"/>
    </xf>
    <xf numFmtId="165" fontId="9" fillId="0" borderId="3" xfId="0" applyFont="true" applyBorder="true" applyAlignment="true" applyProtection="false">
      <alignment horizontal="right" vertical="center" textRotation="0" wrapText="true" indent="0" shrinkToFit="false"/>
      <protection locked="true" hidden="false"/>
    </xf>
    <xf numFmtId="166" fontId="9" fillId="0" borderId="3" xfId="0" applyFont="true" applyBorder="true" applyAlignment="true" applyProtection="false">
      <alignment horizontal="right" vertical="center" textRotation="0" wrapText="true" indent="0" shrinkToFit="false"/>
      <protection locked="true" hidden="false"/>
    </xf>
    <xf numFmtId="166" fontId="9" fillId="0" borderId="3" xfId="0" applyFont="true" applyBorder="true" applyAlignment="true" applyProtection="false">
      <alignment horizontal="right" vertical="center" textRotation="0" wrapText="false" indent="0" shrinkToFit="false"/>
      <protection locked="true" hidden="false"/>
    </xf>
    <xf numFmtId="165" fontId="11" fillId="0" borderId="3" xfId="0" applyFont="true" applyBorder="true" applyAlignment="false" applyProtection="false">
      <alignment horizontal="general" vertical="bottom" textRotation="0" wrapText="false" indent="0" shrinkToFit="false"/>
      <protection locked="true" hidden="false"/>
    </xf>
    <xf numFmtId="166" fontId="9" fillId="0" borderId="3" xfId="0" applyFont="true" applyBorder="true" applyAlignment="false" applyProtection="false">
      <alignment horizontal="general" vertical="bottom" textRotation="0" wrapText="false" indent="0" shrinkToFit="false"/>
      <protection locked="true" hidden="false"/>
    </xf>
    <xf numFmtId="166" fontId="11" fillId="0" borderId="4" xfId="0" applyFont="true" applyBorder="true" applyAlignment="true" applyProtection="false">
      <alignment horizontal="right" vertical="center" textRotation="0" wrapText="false" indent="0" shrinkToFit="false"/>
      <protection locked="true" hidden="false"/>
    </xf>
    <xf numFmtId="166" fontId="9" fillId="0" borderId="4" xfId="0" applyFont="true" applyBorder="true" applyAlignment="false" applyProtection="false">
      <alignment horizontal="general" vertical="bottom" textRotation="0" wrapText="false" indent="0" shrinkToFit="false"/>
      <protection locked="true" hidden="false"/>
    </xf>
    <xf numFmtId="167" fontId="11" fillId="0" borderId="3" xfId="0" applyFont="tru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FF2CC"/>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FE9E0"/>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35B4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3:Y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2" ySplit="8" topLeftCell="M9" activePane="bottomRight" state="frozen"/>
      <selection pane="topLeft" activeCell="A1" activeCellId="0" sqref="A1"/>
      <selection pane="topRight" activeCell="M1" activeCellId="0" sqref="M1"/>
      <selection pane="bottomLeft" activeCell="A9" activeCellId="0" sqref="A9"/>
      <selection pane="bottomRight" activeCell="A1" activeCellId="0" sqref="A1"/>
    </sheetView>
  </sheetViews>
  <sheetFormatPr defaultColWidth="8.59765625" defaultRowHeight="15" zeroHeight="false" outlineLevelRow="0" outlineLevelCol="0"/>
  <cols>
    <col collapsed="false" customWidth="true" hidden="false" outlineLevel="0" max="2" min="1" style="0" width="20"/>
    <col collapsed="false" customWidth="true" hidden="false" outlineLevel="0" max="3" min="3" style="0" width="34"/>
    <col collapsed="false" customWidth="true" hidden="false" outlineLevel="0" max="5" min="4" style="0" width="38"/>
    <col collapsed="false" customWidth="true" hidden="false" outlineLevel="0" max="6" min="6" style="0" width="22"/>
    <col collapsed="false" customWidth="true" hidden="false" outlineLevel="0" max="7" min="7" style="0" width="30"/>
    <col collapsed="false" customWidth="true" hidden="false" outlineLevel="0" max="8" min="8" style="0" width="19"/>
    <col collapsed="false" customWidth="true" hidden="false" outlineLevel="0" max="9" min="9" style="0" width="38"/>
    <col collapsed="false" customWidth="true" hidden="false" outlineLevel="0" max="10" min="10" style="0" width="29"/>
    <col collapsed="false" customWidth="true" hidden="false" outlineLevel="0" max="11" min="11" style="0" width="24"/>
    <col collapsed="false" customWidth="true" hidden="false" outlineLevel="0" max="12" min="12" style="0" width="38"/>
    <col collapsed="false" customWidth="true" hidden="false" outlineLevel="0" max="25" min="13" style="0" width="14"/>
  </cols>
  <sheetData>
    <row r="3" customFormat="false" ht="24.75" hidden="false" customHeight="true" outlineLevel="0" collapsed="false">
      <c r="C3" s="1" t="s">
        <v>0</v>
      </c>
      <c r="D3" s="1"/>
      <c r="E3" s="1"/>
      <c r="F3" s="1"/>
      <c r="G3" s="1"/>
      <c r="H3" s="1"/>
      <c r="I3" s="1"/>
      <c r="J3" s="1"/>
      <c r="K3" s="1"/>
      <c r="L3" s="1"/>
      <c r="M3" s="1"/>
      <c r="N3" s="1"/>
      <c r="O3" s="1"/>
      <c r="P3" s="1"/>
      <c r="Q3" s="1"/>
      <c r="R3" s="1"/>
      <c r="S3" s="1"/>
      <c r="T3" s="1"/>
      <c r="U3" s="1"/>
      <c r="V3" s="1"/>
      <c r="W3" s="1"/>
      <c r="X3" s="1"/>
      <c r="Y3" s="1"/>
    </row>
    <row r="5" customFormat="false" ht="15" hidden="false" customHeight="false" outlineLevel="0" collapsed="false">
      <c r="C5" s="2" t="s">
        <v>1</v>
      </c>
      <c r="D5" s="2"/>
      <c r="E5" s="2"/>
      <c r="F5" s="2"/>
      <c r="G5" s="2"/>
      <c r="H5" s="2"/>
      <c r="I5" s="2"/>
      <c r="J5" s="2"/>
      <c r="K5" s="2"/>
      <c r="L5" s="2"/>
      <c r="M5" s="2"/>
      <c r="N5" s="2"/>
      <c r="O5" s="2"/>
      <c r="P5" s="2"/>
      <c r="Q5" s="2"/>
      <c r="R5" s="2"/>
      <c r="S5" s="2"/>
      <c r="T5" s="2"/>
      <c r="U5" s="2"/>
      <c r="V5" s="2"/>
      <c r="W5" s="2"/>
      <c r="X5" s="2"/>
      <c r="Y5" s="2"/>
    </row>
    <row r="6" customFormat="false" ht="15" hidden="false" customHeight="false" outlineLevel="0" collapsed="false">
      <c r="C6" s="3" t="s">
        <v>2</v>
      </c>
      <c r="D6" s="3"/>
      <c r="E6" s="3"/>
      <c r="F6" s="3"/>
      <c r="G6" s="3"/>
      <c r="H6" s="3"/>
      <c r="I6" s="3"/>
      <c r="J6" s="3"/>
      <c r="K6" s="3"/>
      <c r="L6" s="3"/>
      <c r="M6" s="3"/>
      <c r="N6" s="3"/>
      <c r="O6" s="3"/>
      <c r="P6" s="3"/>
      <c r="Q6" s="3"/>
      <c r="R6" s="3"/>
      <c r="S6" s="3"/>
      <c r="T6" s="3"/>
      <c r="U6" s="3"/>
      <c r="V6" s="3"/>
      <c r="W6" s="3"/>
      <c r="X6" s="3"/>
      <c r="Y6" s="3"/>
    </row>
    <row r="8" customFormat="false" ht="33.75" hidden="false" customHeight="true" outlineLevel="0" collapsed="false">
      <c r="C8" s="4" t="s">
        <v>3</v>
      </c>
      <c r="D8" s="5" t="s">
        <v>4</v>
      </c>
      <c r="E8" s="5" t="s">
        <v>5</v>
      </c>
      <c r="F8" s="5" t="s">
        <v>6</v>
      </c>
      <c r="G8" s="5" t="s">
        <v>7</v>
      </c>
      <c r="H8" s="5" t="s">
        <v>8</v>
      </c>
      <c r="I8" s="5" t="s">
        <v>9</v>
      </c>
      <c r="J8" s="5" t="s">
        <v>10</v>
      </c>
      <c r="K8" s="5" t="s">
        <v>11</v>
      </c>
      <c r="L8" s="5" t="s">
        <v>12</v>
      </c>
      <c r="M8" s="5" t="s">
        <v>13</v>
      </c>
      <c r="N8" s="5" t="s">
        <v>14</v>
      </c>
      <c r="O8" s="5" t="s">
        <v>15</v>
      </c>
      <c r="P8" s="5" t="s">
        <v>16</v>
      </c>
      <c r="Q8" s="5" t="s">
        <v>17</v>
      </c>
      <c r="R8" s="5" t="s">
        <v>18</v>
      </c>
      <c r="S8" s="5" t="s">
        <v>19</v>
      </c>
      <c r="T8" s="5" t="s">
        <v>20</v>
      </c>
      <c r="U8" s="5" t="s">
        <v>21</v>
      </c>
      <c r="V8" s="5" t="s">
        <v>22</v>
      </c>
      <c r="W8" s="5" t="s">
        <v>23</v>
      </c>
      <c r="X8" s="5" t="s">
        <v>24</v>
      </c>
      <c r="Y8" s="6" t="s">
        <v>25</v>
      </c>
    </row>
    <row r="9" customFormat="false" ht="31.5" hidden="false" customHeight="true" outlineLevel="0" collapsed="false">
      <c r="C9" s="7" t="n">
        <v>1</v>
      </c>
      <c r="D9" s="8" t="s">
        <v>26</v>
      </c>
      <c r="E9" s="9" t="s">
        <v>27</v>
      </c>
      <c r="F9" s="10" t="s">
        <v>28</v>
      </c>
      <c r="G9" s="11" t="str">
        <f aca="false">IF(F9="Expat","Yes","No")</f>
        <v>No</v>
      </c>
      <c r="H9" s="10" t="s">
        <v>29</v>
      </c>
      <c r="I9" s="12" t="str">
        <f aca="false">IF(F9="Repatriate","Local — Venezuela",F9)</f>
        <v>Local — Venezuela</v>
      </c>
      <c r="J9" s="13" t="s">
        <v>30</v>
      </c>
      <c r="K9" s="10" t="s">
        <v>31</v>
      </c>
      <c r="L9" s="8" t="s">
        <v>32</v>
      </c>
      <c r="M9" s="14" t="n">
        <f aca="false">$Y9/12</f>
        <v>18000</v>
      </c>
      <c r="N9" s="15" t="n">
        <f aca="false">$Y9/12</f>
        <v>18000</v>
      </c>
      <c r="O9" s="15" t="n">
        <f aca="false">$Y9/12</f>
        <v>18000</v>
      </c>
      <c r="P9" s="15" t="n">
        <f aca="false">$Y9/12</f>
        <v>18000</v>
      </c>
      <c r="Q9" s="15" t="n">
        <f aca="false">$Y9/12</f>
        <v>18000</v>
      </c>
      <c r="R9" s="15" t="n">
        <f aca="false">$Y9/12</f>
        <v>18000</v>
      </c>
      <c r="S9" s="15" t="n">
        <f aca="false">$Y9/12</f>
        <v>18000</v>
      </c>
      <c r="T9" s="15" t="n">
        <f aca="false">$Y9/12</f>
        <v>18000</v>
      </c>
      <c r="U9" s="15" t="n">
        <f aca="false">$Y9/12</f>
        <v>18000</v>
      </c>
      <c r="V9" s="15" t="n">
        <f aca="false">$Y9/12</f>
        <v>18000</v>
      </c>
      <c r="W9" s="15" t="n">
        <f aca="false">$Y9/12</f>
        <v>18000</v>
      </c>
      <c r="X9" s="15" t="n">
        <f aca="false">$Y9/12</f>
        <v>18000</v>
      </c>
      <c r="Y9" s="16" t="n">
        <v>216000</v>
      </c>
    </row>
    <row r="10" customFormat="false" ht="31.5" hidden="false" customHeight="true" outlineLevel="0" collapsed="false">
      <c r="C10" s="7" t="n">
        <v>2</v>
      </c>
      <c r="D10" s="8" t="s">
        <v>33</v>
      </c>
      <c r="E10" s="9" t="s">
        <v>34</v>
      </c>
      <c r="F10" s="10" t="s">
        <v>28</v>
      </c>
      <c r="G10" s="11" t="str">
        <f aca="false">IF(F10="Expat","Yes","No")</f>
        <v>No</v>
      </c>
      <c r="H10" s="10" t="s">
        <v>29</v>
      </c>
      <c r="I10" s="12" t="str">
        <f aca="false">IF(F10="Repatriate","Local — Venezuela",F10)</f>
        <v>Local — Venezuela</v>
      </c>
      <c r="J10" s="13" t="s">
        <v>30</v>
      </c>
      <c r="K10" s="10" t="s">
        <v>31</v>
      </c>
      <c r="L10" s="8" t="s">
        <v>35</v>
      </c>
      <c r="M10" s="15" t="n">
        <f aca="false">$Y10/12</f>
        <v>15000</v>
      </c>
      <c r="N10" s="15" t="n">
        <f aca="false">$Y10/12</f>
        <v>15000</v>
      </c>
      <c r="O10" s="15" t="n">
        <f aca="false">$Y10/12</f>
        <v>15000</v>
      </c>
      <c r="P10" s="15" t="n">
        <f aca="false">$Y10/12</f>
        <v>15000</v>
      </c>
      <c r="Q10" s="15" t="n">
        <f aca="false">$Y10/12</f>
        <v>15000</v>
      </c>
      <c r="R10" s="15" t="n">
        <f aca="false">$Y10/12</f>
        <v>15000</v>
      </c>
      <c r="S10" s="15" t="n">
        <f aca="false">$Y10/12</f>
        <v>15000</v>
      </c>
      <c r="T10" s="15" t="n">
        <f aca="false">$Y10/12</f>
        <v>15000</v>
      </c>
      <c r="U10" s="15" t="n">
        <f aca="false">$Y10/12</f>
        <v>15000</v>
      </c>
      <c r="V10" s="15" t="n">
        <f aca="false">$Y10/12</f>
        <v>15000</v>
      </c>
      <c r="W10" s="15" t="n">
        <f aca="false">$Y10/12</f>
        <v>15000</v>
      </c>
      <c r="X10" s="15" t="n">
        <f aca="false">$Y10/12</f>
        <v>15000</v>
      </c>
      <c r="Y10" s="17" t="n">
        <v>180000</v>
      </c>
    </row>
    <row r="11" customFormat="false" ht="31.5" hidden="false" customHeight="true" outlineLevel="0" collapsed="false">
      <c r="C11" s="7" t="n">
        <v>3</v>
      </c>
      <c r="D11" s="8" t="s">
        <v>36</v>
      </c>
      <c r="E11" s="9" t="s">
        <v>37</v>
      </c>
      <c r="F11" s="10" t="s">
        <v>28</v>
      </c>
      <c r="G11" s="11" t="str">
        <f aca="false">IF(F11="Expat","Yes","No")</f>
        <v>No</v>
      </c>
      <c r="H11" s="10" t="s">
        <v>29</v>
      </c>
      <c r="I11" s="12" t="str">
        <f aca="false">IF(F11="Repatriate","Local — Venezuela",F11)</f>
        <v>Local — Venezuela</v>
      </c>
      <c r="J11" s="13" t="s">
        <v>30</v>
      </c>
      <c r="K11" s="10" t="s">
        <v>31</v>
      </c>
      <c r="L11" s="8" t="s">
        <v>32</v>
      </c>
      <c r="M11" s="15" t="n">
        <f aca="false">$Y11/12</f>
        <v>18000</v>
      </c>
      <c r="N11" s="15" t="n">
        <f aca="false">$Y11/12</f>
        <v>18000</v>
      </c>
      <c r="O11" s="15" t="n">
        <f aca="false">$Y11/12</f>
        <v>18000</v>
      </c>
      <c r="P11" s="15" t="n">
        <f aca="false">$Y11/12</f>
        <v>18000</v>
      </c>
      <c r="Q11" s="15" t="n">
        <f aca="false">$Y11/12</f>
        <v>18000</v>
      </c>
      <c r="R11" s="15" t="n">
        <f aca="false">$Y11/12</f>
        <v>18000</v>
      </c>
      <c r="S11" s="15" t="n">
        <f aca="false">$Y11/12</f>
        <v>18000</v>
      </c>
      <c r="T11" s="15" t="n">
        <f aca="false">$Y11/12</f>
        <v>18000</v>
      </c>
      <c r="U11" s="15" t="n">
        <f aca="false">$Y11/12</f>
        <v>18000</v>
      </c>
      <c r="V11" s="15" t="n">
        <f aca="false">$Y11/12</f>
        <v>18000</v>
      </c>
      <c r="W11" s="15" t="n">
        <f aca="false">$Y11/12</f>
        <v>18000</v>
      </c>
      <c r="X11" s="15" t="n">
        <f aca="false">$Y11/12</f>
        <v>18000</v>
      </c>
      <c r="Y11" s="17" t="n">
        <v>216000</v>
      </c>
    </row>
    <row r="12" customFormat="false" ht="31.5" hidden="false" customHeight="true" outlineLevel="0" collapsed="false">
      <c r="C12" s="7" t="n">
        <v>4</v>
      </c>
      <c r="D12" s="8" t="s">
        <v>38</v>
      </c>
      <c r="E12" s="9" t="s">
        <v>39</v>
      </c>
      <c r="F12" s="10" t="s">
        <v>40</v>
      </c>
      <c r="G12" s="11" t="str">
        <f aca="false">IF(F12="Expat","Yes","No")</f>
        <v>Yes</v>
      </c>
      <c r="H12" s="10" t="s">
        <v>29</v>
      </c>
      <c r="I12" s="12" t="str">
        <f aca="false">IF(F12="Repatriate","Local — Venezuela",F12)</f>
        <v>Expat</v>
      </c>
      <c r="J12" s="13" t="s">
        <v>41</v>
      </c>
      <c r="K12" s="10" t="s">
        <v>31</v>
      </c>
      <c r="L12" s="8" t="s">
        <v>42</v>
      </c>
      <c r="M12" s="15" t="n">
        <f aca="false">$Y12/12</f>
        <v>15000</v>
      </c>
      <c r="N12" s="15" t="n">
        <f aca="false">$Y12/12</f>
        <v>15000</v>
      </c>
      <c r="O12" s="15" t="n">
        <f aca="false">$Y12/12</f>
        <v>15000</v>
      </c>
      <c r="P12" s="15" t="n">
        <f aca="false">$Y12/12</f>
        <v>15000</v>
      </c>
      <c r="Q12" s="15" t="n">
        <f aca="false">$Y12/12</f>
        <v>15000</v>
      </c>
      <c r="R12" s="15" t="n">
        <f aca="false">$Y12/12</f>
        <v>15000</v>
      </c>
      <c r="S12" s="15" t="n">
        <f aca="false">$Y12/12</f>
        <v>15000</v>
      </c>
      <c r="T12" s="15" t="n">
        <f aca="false">$Y12/12</f>
        <v>15000</v>
      </c>
      <c r="U12" s="15" t="n">
        <f aca="false">$Y12/12</f>
        <v>15000</v>
      </c>
      <c r="V12" s="15" t="n">
        <f aca="false">$Y12/12</f>
        <v>15000</v>
      </c>
      <c r="W12" s="15" t="n">
        <f aca="false">$Y12/12</f>
        <v>15000</v>
      </c>
      <c r="X12" s="15" t="n">
        <f aca="false">$Y12/12</f>
        <v>15000</v>
      </c>
      <c r="Y12" s="17" t="n">
        <v>180000</v>
      </c>
    </row>
    <row r="13" customFormat="false" ht="31.5" hidden="false" customHeight="true" outlineLevel="0" collapsed="false">
      <c r="C13" s="7" t="n">
        <v>5</v>
      </c>
      <c r="D13" s="8" t="s">
        <v>43</v>
      </c>
      <c r="E13" s="9" t="s">
        <v>44</v>
      </c>
      <c r="F13" s="10" t="s">
        <v>45</v>
      </c>
      <c r="G13" s="11" t="str">
        <f aca="false">IF(F13="Expat","Yes","No")</f>
        <v>No</v>
      </c>
      <c r="H13" s="10" t="s">
        <v>29</v>
      </c>
      <c r="I13" s="12" t="str">
        <f aca="false">IF(F13="Repatriate","Local — Venezuela",F13)</f>
        <v>Local</v>
      </c>
      <c r="J13" s="13" t="s">
        <v>41</v>
      </c>
      <c r="K13" s="10" t="s">
        <v>46</v>
      </c>
      <c r="L13" s="8" t="s">
        <v>47</v>
      </c>
      <c r="M13" s="15" t="n">
        <f aca="false">$Y13/12</f>
        <v>10000</v>
      </c>
      <c r="N13" s="15" t="n">
        <f aca="false">$Y13/12</f>
        <v>10000</v>
      </c>
      <c r="O13" s="15" t="n">
        <f aca="false">$Y13/12</f>
        <v>10000</v>
      </c>
      <c r="P13" s="15" t="n">
        <f aca="false">$Y13/12</f>
        <v>10000</v>
      </c>
      <c r="Q13" s="15" t="n">
        <f aca="false">$Y13/12</f>
        <v>10000</v>
      </c>
      <c r="R13" s="15" t="n">
        <f aca="false">$Y13/12</f>
        <v>10000</v>
      </c>
      <c r="S13" s="15" t="n">
        <f aca="false">$Y13/12</f>
        <v>10000</v>
      </c>
      <c r="T13" s="15" t="n">
        <f aca="false">$Y13/12</f>
        <v>10000</v>
      </c>
      <c r="U13" s="15" t="n">
        <f aca="false">$Y13/12</f>
        <v>10000</v>
      </c>
      <c r="V13" s="15" t="n">
        <f aca="false">$Y13/12</f>
        <v>10000</v>
      </c>
      <c r="W13" s="15" t="n">
        <f aca="false">$Y13/12</f>
        <v>10000</v>
      </c>
      <c r="X13" s="15" t="n">
        <f aca="false">$Y13/12</f>
        <v>10000</v>
      </c>
      <c r="Y13" s="17" t="n">
        <v>120000</v>
      </c>
    </row>
    <row r="14" customFormat="false" ht="31.5" hidden="false" customHeight="true" outlineLevel="0" collapsed="false">
      <c r="C14" s="7" t="n">
        <v>6</v>
      </c>
      <c r="D14" s="8" t="s">
        <v>48</v>
      </c>
      <c r="E14" s="9" t="s">
        <v>49</v>
      </c>
      <c r="F14" s="10" t="s">
        <v>40</v>
      </c>
      <c r="G14" s="11" t="str">
        <f aca="false">IF(F14="Expat","Yes","No")</f>
        <v>Yes</v>
      </c>
      <c r="H14" s="10" t="s">
        <v>50</v>
      </c>
      <c r="I14" s="12" t="str">
        <f aca="false">IF(F14="Repatriate","Local — Venezuela",F14)</f>
        <v>Expat</v>
      </c>
      <c r="J14" s="13" t="s">
        <v>41</v>
      </c>
      <c r="K14" s="10" t="s">
        <v>46</v>
      </c>
      <c r="L14" s="8" t="s">
        <v>51</v>
      </c>
      <c r="M14" s="15" t="n">
        <f aca="false">$Y14/12</f>
        <v>15000</v>
      </c>
      <c r="N14" s="15" t="n">
        <f aca="false">$Y14/12</f>
        <v>15000</v>
      </c>
      <c r="O14" s="15" t="n">
        <f aca="false">$Y14/12</f>
        <v>15000</v>
      </c>
      <c r="P14" s="15" t="n">
        <f aca="false">$Y14/12</f>
        <v>15000</v>
      </c>
      <c r="Q14" s="15" t="n">
        <f aca="false">$Y14/12</f>
        <v>15000</v>
      </c>
      <c r="R14" s="15" t="n">
        <f aca="false">$Y14/12</f>
        <v>15000</v>
      </c>
      <c r="S14" s="15" t="n">
        <f aca="false">$Y14/12</f>
        <v>15000</v>
      </c>
      <c r="T14" s="15" t="n">
        <f aca="false">$Y14/12</f>
        <v>15000</v>
      </c>
      <c r="U14" s="15" t="n">
        <f aca="false">$Y14/12</f>
        <v>15000</v>
      </c>
      <c r="V14" s="15" t="n">
        <f aca="false">$Y14/12</f>
        <v>15000</v>
      </c>
      <c r="W14" s="15" t="n">
        <f aca="false">$Y14/12</f>
        <v>15000</v>
      </c>
      <c r="X14" s="15" t="n">
        <f aca="false">$Y14/12</f>
        <v>15000</v>
      </c>
      <c r="Y14" s="17" t="n">
        <v>180000</v>
      </c>
    </row>
    <row r="15" customFormat="false" ht="31.5" hidden="false" customHeight="true" outlineLevel="0" collapsed="false">
      <c r="C15" s="7" t="n">
        <v>7</v>
      </c>
      <c r="D15" s="8" t="s">
        <v>52</v>
      </c>
      <c r="E15" s="9" t="s">
        <v>53</v>
      </c>
      <c r="F15" s="10" t="s">
        <v>45</v>
      </c>
      <c r="G15" s="11" t="str">
        <f aca="false">IF(F15="Expat","Yes","No")</f>
        <v>No</v>
      </c>
      <c r="H15" s="10" t="s">
        <v>29</v>
      </c>
      <c r="I15" s="12" t="str">
        <f aca="false">IF(F15="Repatriate","Local — Venezuela",F15)</f>
        <v>Local</v>
      </c>
      <c r="J15" s="13" t="s">
        <v>41</v>
      </c>
      <c r="K15" s="10" t="s">
        <v>31</v>
      </c>
      <c r="L15" s="8" t="s">
        <v>54</v>
      </c>
      <c r="M15" s="15" t="n">
        <f aca="false">$Y15/12</f>
        <v>4000</v>
      </c>
      <c r="N15" s="15" t="n">
        <f aca="false">$Y15/12</f>
        <v>4000</v>
      </c>
      <c r="O15" s="15" t="n">
        <f aca="false">$Y15/12</f>
        <v>4000</v>
      </c>
      <c r="P15" s="15" t="n">
        <f aca="false">$Y15/12</f>
        <v>4000</v>
      </c>
      <c r="Q15" s="15" t="n">
        <f aca="false">$Y15/12</f>
        <v>4000</v>
      </c>
      <c r="R15" s="15" t="n">
        <f aca="false">$Y15/12</f>
        <v>4000</v>
      </c>
      <c r="S15" s="15" t="n">
        <f aca="false">$Y15/12</f>
        <v>4000</v>
      </c>
      <c r="T15" s="15" t="n">
        <f aca="false">$Y15/12</f>
        <v>4000</v>
      </c>
      <c r="U15" s="15" t="n">
        <f aca="false">$Y15/12</f>
        <v>4000</v>
      </c>
      <c r="V15" s="15" t="n">
        <f aca="false">$Y15/12</f>
        <v>4000</v>
      </c>
      <c r="W15" s="15" t="n">
        <f aca="false">$Y15/12</f>
        <v>4000</v>
      </c>
      <c r="X15" s="15" t="n">
        <f aca="false">$Y15/12</f>
        <v>4000</v>
      </c>
      <c r="Y15" s="17" t="n">
        <v>48000</v>
      </c>
    </row>
    <row r="16" customFormat="false" ht="31.5" hidden="false" customHeight="true" outlineLevel="0" collapsed="false">
      <c r="C16" s="7" t="n">
        <v>8</v>
      </c>
      <c r="D16" s="8" t="s">
        <v>55</v>
      </c>
      <c r="E16" s="9" t="s">
        <v>56</v>
      </c>
      <c r="F16" s="10" t="s">
        <v>57</v>
      </c>
      <c r="G16" s="11" t="str">
        <f aca="false">IF(F16="Expat","Yes","No")</f>
        <v>No</v>
      </c>
      <c r="H16" s="10" t="s">
        <v>57</v>
      </c>
      <c r="I16" s="12" t="str">
        <f aca="false">IF(F16="Repatriate","Local — Venezuela",F16)</f>
        <v>TBD</v>
      </c>
      <c r="J16" s="13" t="s">
        <v>41</v>
      </c>
      <c r="K16" s="10" t="s">
        <v>46</v>
      </c>
      <c r="L16" s="8" t="s">
        <v>58</v>
      </c>
      <c r="M16" s="15" t="n">
        <f aca="false">$Y16/12</f>
        <v>4000</v>
      </c>
      <c r="N16" s="15" t="n">
        <f aca="false">$Y16/12</f>
        <v>4000</v>
      </c>
      <c r="O16" s="15" t="n">
        <f aca="false">$Y16/12</f>
        <v>4000</v>
      </c>
      <c r="P16" s="15" t="n">
        <f aca="false">$Y16/12</f>
        <v>4000</v>
      </c>
      <c r="Q16" s="15" t="n">
        <f aca="false">$Y16/12</f>
        <v>4000</v>
      </c>
      <c r="R16" s="15" t="n">
        <f aca="false">$Y16/12</f>
        <v>4000</v>
      </c>
      <c r="S16" s="15" t="n">
        <f aca="false">$Y16/12</f>
        <v>4000</v>
      </c>
      <c r="T16" s="15" t="n">
        <f aca="false">$Y16/12</f>
        <v>4000</v>
      </c>
      <c r="U16" s="15" t="n">
        <f aca="false">$Y16/12</f>
        <v>4000</v>
      </c>
      <c r="V16" s="15" t="n">
        <f aca="false">$Y16/12</f>
        <v>4000</v>
      </c>
      <c r="W16" s="15" t="n">
        <f aca="false">$Y16/12</f>
        <v>4000</v>
      </c>
      <c r="X16" s="15" t="n">
        <f aca="false">$Y16/12</f>
        <v>4000</v>
      </c>
      <c r="Y16" s="17" t="n">
        <v>48000</v>
      </c>
    </row>
    <row r="17" customFormat="false" ht="15" hidden="false" customHeight="false" outlineLevel="0" collapsed="false">
      <c r="C17" s="18" t="s">
        <v>59</v>
      </c>
      <c r="D17" s="18"/>
      <c r="E17" s="18"/>
      <c r="F17" s="18"/>
      <c r="G17" s="18"/>
      <c r="H17" s="18"/>
      <c r="I17" s="18"/>
      <c r="J17" s="18"/>
      <c r="K17" s="18"/>
      <c r="L17" s="18"/>
      <c r="M17" s="19" t="n">
        <f aca="false">SUM(M9:M16)</f>
        <v>99000</v>
      </c>
      <c r="N17" s="20" t="n">
        <f aca="false">SUM(N9:N16)</f>
        <v>99000</v>
      </c>
      <c r="O17" s="20" t="n">
        <f aca="false">SUM(O9:O16)</f>
        <v>99000</v>
      </c>
      <c r="P17" s="20" t="n">
        <f aca="false">SUM(P9:P16)</f>
        <v>99000</v>
      </c>
      <c r="Q17" s="20" t="n">
        <f aca="false">SUM(Q9:Q16)</f>
        <v>99000</v>
      </c>
      <c r="R17" s="20" t="n">
        <f aca="false">SUM(R9:R16)</f>
        <v>99000</v>
      </c>
      <c r="S17" s="20" t="n">
        <f aca="false">SUM(S9:S16)</f>
        <v>99000</v>
      </c>
      <c r="T17" s="20" t="n">
        <f aca="false">SUM(T9:T16)</f>
        <v>99000</v>
      </c>
      <c r="U17" s="20" t="n">
        <f aca="false">SUM(U9:U16)</f>
        <v>99000</v>
      </c>
      <c r="V17" s="20" t="n">
        <f aca="false">SUM(V9:V16)</f>
        <v>99000</v>
      </c>
      <c r="W17" s="20" t="n">
        <f aca="false">SUM(W9:W16)</f>
        <v>99000</v>
      </c>
      <c r="X17" s="20" t="n">
        <f aca="false">SUM(X9:X16)</f>
        <v>99000</v>
      </c>
      <c r="Y17" s="19" t="n">
        <f aca="false">SUM(Y9:Y16)</f>
        <v>1188000</v>
      </c>
    </row>
    <row r="20" customFormat="false" ht="15" hidden="false" customHeight="false" outlineLevel="0" collapsed="false">
      <c r="C20" s="21" t="s">
        <v>60</v>
      </c>
      <c r="D20" s="21"/>
      <c r="E20" s="21"/>
      <c r="F20" s="21"/>
      <c r="G20" s="21"/>
      <c r="H20" s="21"/>
      <c r="I20" s="21"/>
      <c r="J20" s="21"/>
      <c r="K20" s="21"/>
      <c r="L20" s="21"/>
      <c r="M20" s="21"/>
      <c r="N20" s="21"/>
      <c r="O20" s="21"/>
      <c r="P20" s="21"/>
      <c r="Q20" s="21"/>
      <c r="R20" s="21"/>
      <c r="S20" s="21"/>
      <c r="T20" s="21"/>
      <c r="U20" s="21"/>
      <c r="V20" s="21"/>
      <c r="W20" s="21"/>
      <c r="X20" s="21"/>
      <c r="Y20" s="21"/>
    </row>
    <row r="21" customFormat="false" ht="33.75" hidden="false" customHeight="true" outlineLevel="0" collapsed="false">
      <c r="C21" s="4" t="s">
        <v>61</v>
      </c>
      <c r="D21" s="5" t="s">
        <v>62</v>
      </c>
      <c r="E21" s="6" t="s">
        <v>63</v>
      </c>
    </row>
    <row r="22" customFormat="false" ht="15" hidden="false" customHeight="false" outlineLevel="0" collapsed="false">
      <c r="C22" s="22" t="s">
        <v>40</v>
      </c>
      <c r="D22" s="23" t="n">
        <f aca="false">COUNTIF(F9:F16,"Expat")</f>
        <v>2</v>
      </c>
      <c r="E22" s="24" t="s">
        <v>64</v>
      </c>
    </row>
    <row r="23" customFormat="false" ht="15" hidden="false" customHeight="false" outlineLevel="0" collapsed="false">
      <c r="C23" s="22" t="s">
        <v>28</v>
      </c>
      <c r="D23" s="23" t="n">
        <f aca="false">COUNTIF(F9:F16,"Repatriate")</f>
        <v>3</v>
      </c>
      <c r="E23" s="24" t="s">
        <v>65</v>
      </c>
    </row>
    <row r="24" customFormat="false" ht="15" hidden="false" customHeight="false" outlineLevel="0" collapsed="false">
      <c r="C24" s="22" t="s">
        <v>45</v>
      </c>
      <c r="D24" s="23" t="n">
        <f aca="false">COUNTIF(F9:F16,"Local")</f>
        <v>2</v>
      </c>
      <c r="E24" s="24" t="s">
        <v>66</v>
      </c>
    </row>
    <row r="25" customFormat="false" ht="15" hidden="false" customHeight="false" outlineLevel="0" collapsed="false">
      <c r="C25" s="22" t="s">
        <v>67</v>
      </c>
      <c r="D25" s="23" t="n">
        <f aca="false">COUNTIF(F9:F16,"TBD")</f>
        <v>1</v>
      </c>
      <c r="E25" s="24" t="s">
        <v>68</v>
      </c>
    </row>
    <row r="26" customFormat="false" ht="15" hidden="false" customHeight="false" outlineLevel="0" collapsed="false">
      <c r="C26" s="22" t="s">
        <v>29</v>
      </c>
      <c r="D26" s="23" t="n">
        <f aca="false">COUNTIF(H9:H16,"Fixed")</f>
        <v>6</v>
      </c>
      <c r="E26" s="24" t="s">
        <v>69</v>
      </c>
    </row>
    <row r="27" customFormat="false" ht="15" hidden="false" customHeight="false" outlineLevel="0" collapsed="false">
      <c r="C27" s="22" t="s">
        <v>50</v>
      </c>
      <c r="D27" s="23" t="n">
        <f aca="false">COUNTIF(H9:H16,"Rotation")</f>
        <v>1</v>
      </c>
      <c r="E27" s="24" t="s">
        <v>70</v>
      </c>
    </row>
    <row r="28" customFormat="false" ht="15" hidden="false" customHeight="false" outlineLevel="0" collapsed="false">
      <c r="C28" s="22" t="s">
        <v>71</v>
      </c>
      <c r="D28" s="23" t="n">
        <f aca="false">COUNTIF(H9:H16,"TBD")</f>
        <v>1</v>
      </c>
      <c r="E28" s="24" t="s">
        <v>72</v>
      </c>
    </row>
    <row r="29" customFormat="false" ht="15" hidden="false" customHeight="false" outlineLevel="0" collapsed="false">
      <c r="C29" s="22" t="s">
        <v>73</v>
      </c>
      <c r="D29" s="23" t="n">
        <f aca="false">COUNTIF(J9:J16,"Eligible*")</f>
        <v>3</v>
      </c>
      <c r="E29" s="24" t="s">
        <v>74</v>
      </c>
    </row>
    <row r="30" customFormat="false" ht="15" hidden="false" customHeight="false" outlineLevel="0" collapsed="false">
      <c r="C30" s="22" t="s">
        <v>75</v>
      </c>
      <c r="D30" s="23" t="n">
        <f aca="false">COUNTIF(K9:K16,"Assumption")</f>
        <v>3</v>
      </c>
      <c r="E30" s="24" t="s">
        <v>76</v>
      </c>
    </row>
  </sheetData>
  <mergeCells count="5">
    <mergeCell ref="C3:Y3"/>
    <mergeCell ref="C5:Y5"/>
    <mergeCell ref="C6:Y6"/>
    <mergeCell ref="C17:L17"/>
    <mergeCell ref="C20:Y20"/>
  </mergeCells>
  <conditionalFormatting sqref="K9:K16">
    <cfRule type="expression" priority="2" aboveAverage="0" equalAverage="0" bottom="0" percent="0" rank="0" text="" dxfId="0">
      <formula>K9="Assumption"</formula>
    </cfRule>
  </conditionalFormatting>
  <conditionalFormatting sqref="F9:F16">
    <cfRule type="expression" priority="3" aboveAverage="0" equalAverage="0" bottom="0" percent="0" rank="0" text="" dxfId="0">
      <formula>F9="TBD"</formula>
    </cfRule>
  </conditionalFormatting>
  <conditionalFormatting sqref="H9:H16">
    <cfRule type="expression" priority="4" aboveAverage="0" equalAverage="0" bottom="0" percent="0" rank="0" text="" dxfId="0">
      <formula>H9="TBD"</formula>
    </cfRule>
  </conditionalFormatting>
  <dataValidations count="3">
    <dataValidation allowBlank="false" errorStyle="stop" operator="between" showDropDown="false" showErrorMessage="false" showInputMessage="false" sqref="F9:F16" type="list">
      <formula1>"Expat,Repatriate,Local,TBD"</formula1>
      <formula2>0</formula2>
    </dataValidation>
    <dataValidation allowBlank="false" errorStyle="stop" operator="between" showDropDown="false" showErrorMessage="false" showInputMessage="false" sqref="H9:H16" type="list">
      <formula1>"Fixed,Rotation,TBD"</formula1>
      <formula2>0</formula2>
    </dataValidation>
    <dataValidation allowBlank="false" errorStyle="stop" operator="between" showDropDown="false" showErrorMessage="false" showInputMessage="false" sqref="K9:K16" type="list">
      <formula1>"Confirmed,Assumption"</formula1>
      <formula2>0</formula2>
    </dataValidation>
  </dataValidation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&amp;C&amp;8 Personnel | Page &amp;P of &amp;N</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3:AA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9" ySplit="8" topLeftCell="J9" activePane="bottomRight" state="frozen"/>
      <selection pane="topLeft" activeCell="A1" activeCellId="0" sqref="A1"/>
      <selection pane="topRight" activeCell="J1" activeCellId="0" sqref="J1"/>
      <selection pane="bottomLeft" activeCell="A9" activeCellId="0" sqref="A9"/>
      <selection pane="bottomRight" activeCell="A1" activeCellId="0" sqref="A1"/>
    </sheetView>
  </sheetViews>
  <sheetFormatPr defaultColWidth="8.59765625" defaultRowHeight="15" zeroHeight="false" outlineLevelRow="0" outlineLevelCol="0"/>
  <cols>
    <col collapsed="false" customWidth="true" hidden="false" outlineLevel="0" max="2" min="1" style="0" width="20"/>
    <col collapsed="false" customWidth="true" hidden="false" outlineLevel="0" max="3" min="3" style="0" width="25"/>
    <col collapsed="false" customWidth="true" hidden="false" outlineLevel="0" max="4" min="4" style="0" width="34"/>
    <col collapsed="false" customWidth="true" hidden="false" outlineLevel="0" max="5" min="5" style="0" width="17"/>
    <col collapsed="false" customWidth="true" hidden="false" outlineLevel="0" max="6" min="6" style="0" width="22"/>
    <col collapsed="false" customWidth="true" hidden="false" outlineLevel="0" max="23" min="7" style="0" width="15"/>
    <col collapsed="false" customWidth="true" hidden="false" outlineLevel="0" max="24" min="24" style="0" width="17"/>
    <col collapsed="false" customWidth="true" hidden="false" outlineLevel="0" max="26" min="25" style="0" width="16"/>
    <col collapsed="false" customWidth="true" hidden="false" outlineLevel="0" max="27" min="27" style="0" width="28"/>
  </cols>
  <sheetData>
    <row r="3" customFormat="false" ht="24.75" hidden="false" customHeight="true" outlineLevel="0" collapsed="false">
      <c r="C3" s="1" t="s">
        <v>77</v>
      </c>
      <c r="D3" s="1"/>
      <c r="E3" s="1"/>
      <c r="F3" s="1"/>
      <c r="G3" s="1"/>
      <c r="H3" s="1"/>
      <c r="I3" s="1"/>
      <c r="J3" s="1"/>
      <c r="K3" s="1"/>
      <c r="L3" s="1"/>
      <c r="M3" s="1"/>
      <c r="N3" s="1"/>
      <c r="O3" s="1"/>
      <c r="P3" s="1"/>
      <c r="Q3" s="1"/>
      <c r="R3" s="1"/>
      <c r="S3" s="1"/>
      <c r="T3" s="1"/>
      <c r="U3" s="1"/>
      <c r="V3" s="1"/>
      <c r="W3" s="1"/>
      <c r="X3" s="1"/>
      <c r="Y3" s="1"/>
      <c r="Z3" s="1"/>
      <c r="AA3" s="1"/>
    </row>
    <row r="5" customFormat="false" ht="15" hidden="false" customHeight="false" outlineLevel="0" collapsed="false">
      <c r="C5" s="2" t="s">
        <v>78</v>
      </c>
      <c r="D5" s="2"/>
      <c r="E5" s="2"/>
      <c r="F5" s="2"/>
      <c r="G5" s="2"/>
      <c r="H5" s="2"/>
      <c r="I5" s="2"/>
      <c r="J5" s="2"/>
      <c r="K5" s="2"/>
      <c r="L5" s="2"/>
      <c r="M5" s="2"/>
      <c r="N5" s="2"/>
      <c r="O5" s="2"/>
      <c r="P5" s="2"/>
      <c r="Q5" s="2"/>
      <c r="R5" s="2"/>
      <c r="S5" s="2"/>
      <c r="T5" s="2"/>
      <c r="U5" s="2"/>
      <c r="V5" s="2"/>
      <c r="W5" s="2"/>
      <c r="X5" s="2"/>
      <c r="Y5" s="2"/>
      <c r="Z5" s="2"/>
      <c r="AA5" s="2"/>
    </row>
    <row r="6" customFormat="false" ht="15" hidden="false" customHeight="false" outlineLevel="0" collapsed="false">
      <c r="C6" s="3" t="s">
        <v>79</v>
      </c>
      <c r="D6" s="3"/>
      <c r="E6" s="3"/>
      <c r="F6" s="3"/>
      <c r="G6" s="3"/>
      <c r="H6" s="3"/>
      <c r="I6" s="3"/>
      <c r="J6" s="3"/>
      <c r="K6" s="3"/>
      <c r="L6" s="3"/>
      <c r="M6" s="3"/>
      <c r="N6" s="3"/>
      <c r="O6" s="3"/>
      <c r="P6" s="3"/>
      <c r="Q6" s="3"/>
      <c r="R6" s="3"/>
      <c r="S6" s="3"/>
      <c r="T6" s="3"/>
      <c r="U6" s="3"/>
      <c r="V6" s="3"/>
      <c r="W6" s="3"/>
      <c r="X6" s="3"/>
      <c r="Y6" s="3"/>
      <c r="Z6" s="3"/>
      <c r="AA6" s="3"/>
    </row>
    <row r="8" customFormat="false" ht="33.75" hidden="false" customHeight="true" outlineLevel="0" collapsed="false">
      <c r="C8" s="4" t="s">
        <v>5</v>
      </c>
      <c r="D8" s="5" t="s">
        <v>4</v>
      </c>
      <c r="E8" s="5" t="s">
        <v>80</v>
      </c>
      <c r="F8" s="5" t="s">
        <v>9</v>
      </c>
      <c r="G8" s="5" t="s">
        <v>81</v>
      </c>
      <c r="H8" s="5" t="s">
        <v>82</v>
      </c>
      <c r="I8" s="5" t="s">
        <v>83</v>
      </c>
      <c r="J8" s="5" t="s">
        <v>84</v>
      </c>
      <c r="K8" s="5" t="s">
        <v>85</v>
      </c>
      <c r="L8" s="5" t="s">
        <v>86</v>
      </c>
      <c r="M8" s="5" t="s">
        <v>87</v>
      </c>
      <c r="N8" s="5" t="s">
        <v>88</v>
      </c>
      <c r="O8" s="5" t="s">
        <v>89</v>
      </c>
      <c r="P8" s="25" t="s">
        <v>90</v>
      </c>
      <c r="Q8" s="25" t="s">
        <v>91</v>
      </c>
      <c r="R8" s="25" t="s">
        <v>92</v>
      </c>
      <c r="S8" s="5" t="s">
        <v>93</v>
      </c>
      <c r="T8" s="5" t="s">
        <v>94</v>
      </c>
      <c r="U8" s="5" t="s">
        <v>95</v>
      </c>
      <c r="V8" s="5" t="s">
        <v>96</v>
      </c>
      <c r="W8" s="5" t="s">
        <v>97</v>
      </c>
      <c r="X8" s="5" t="s">
        <v>98</v>
      </c>
      <c r="Y8" s="5" t="s">
        <v>99</v>
      </c>
      <c r="Z8" s="5" t="s">
        <v>100</v>
      </c>
      <c r="AA8" s="6" t="s">
        <v>101</v>
      </c>
    </row>
    <row r="9" customFormat="false" ht="31.5" hidden="false" customHeight="true" outlineLevel="0" collapsed="false">
      <c r="C9" s="26" t="s">
        <v>27</v>
      </c>
      <c r="D9" s="8" t="s">
        <v>26</v>
      </c>
      <c r="E9" s="27" t="str">
        <f aca="false">VLOOKUP(C9,Personnel!$E$9:$I$16,2,FALSE())</f>
        <v>Repatriate</v>
      </c>
      <c r="F9" s="27" t="str">
        <f aca="false">VLOOKUP(C9,Personnel!$E$9:$I$16,5,FALSE())</f>
        <v>Local — Venezuela</v>
      </c>
      <c r="G9" s="28" t="n">
        <f aca="false">VLOOKUP(C9,Personnel!$E$9:$Y$16,21,FALSE())/12</f>
        <v>18000</v>
      </c>
      <c r="H9" s="29" t="n">
        <v>12000</v>
      </c>
      <c r="I9" s="15" t="n">
        <f aca="false">H9/12</f>
        <v>1000</v>
      </c>
      <c r="J9" s="14" t="n">
        <f aca="false">$G9+$I9</f>
        <v>19000</v>
      </c>
      <c r="K9" s="15" t="n">
        <f aca="false">$G9+$I9</f>
        <v>19000</v>
      </c>
      <c r="L9" s="15" t="n">
        <f aca="false">$G9+$I9</f>
        <v>19000</v>
      </c>
      <c r="M9" s="15" t="n">
        <f aca="false">$G9+$I9</f>
        <v>19000</v>
      </c>
      <c r="N9" s="15" t="n">
        <f aca="false">$G9+$I9</f>
        <v>19000</v>
      </c>
      <c r="O9" s="15" t="n">
        <f aca="false">$G9+$I9</f>
        <v>19000</v>
      </c>
      <c r="P9" s="30" t="n">
        <f aca="false">IF($E9="Repatriate",$G9*'Repatriation Package'!$D$15,0)</f>
        <v>27000</v>
      </c>
      <c r="Q9" s="31" t="n">
        <f aca="false">$G9+$I9+$Y9</f>
        <v>19000</v>
      </c>
      <c r="R9" s="31" t="n">
        <f aca="false">P9+Q9</f>
        <v>46000</v>
      </c>
      <c r="S9" s="28" t="n">
        <f aca="false">$G9+$I9+$Y9+IF(8='Alan Expat Package'!$D$12,$Z9,0)+IF(8='Alan Expat Package'!$D$13,$Z9,0)</f>
        <v>19000</v>
      </c>
      <c r="T9" s="32" t="n">
        <f aca="false">$G9+$I9+$Y9+IF(9='Alan Expat Package'!$D$12,$Z9,0)+IF(9='Alan Expat Package'!$D$13,$Z9,0)</f>
        <v>19000</v>
      </c>
      <c r="U9" s="32" t="n">
        <f aca="false">$G9+$I9+$Y9+IF(10='Alan Expat Package'!$D$12,$Z9,0)+IF(10='Alan Expat Package'!$D$13,$Z9,0)</f>
        <v>19000</v>
      </c>
      <c r="V9" s="32" t="n">
        <f aca="false">$G9+$I9+$Y9+IF(11='Alan Expat Package'!$D$12,$Z9,0)+IF(11='Alan Expat Package'!$D$13,$Z9,0)</f>
        <v>19000</v>
      </c>
      <c r="W9" s="32" t="n">
        <f aca="false">$G9+$I9+$Y9+IF(12='Alan Expat Package'!$D$12,$Z9,0)+IF(12='Alan Expat Package'!$D$13,$Z9,0)</f>
        <v>19000</v>
      </c>
      <c r="X9" s="14" t="n">
        <f aca="false">SUM(J9:O9)+R9+SUM(S9:W9)</f>
        <v>255000</v>
      </c>
      <c r="Y9" s="32" t="n">
        <f aca="false">IF(C9="Alan McKeon",'Alan Expat Package'!$D$9,0)</f>
        <v>0</v>
      </c>
      <c r="Z9" s="32" t="n">
        <f aca="false">IF(C9="Alan McKeon",'Alan Expat Package'!$D$10,0)</f>
        <v>0</v>
      </c>
      <c r="AA9" s="33" t="str">
        <f aca="false">IF(C9="Alan McKeon",'Alan Expat Package'!$D$14,"Not applicable")</f>
        <v>Not applicable</v>
      </c>
    </row>
    <row r="10" customFormat="false" ht="31.5" hidden="false" customHeight="true" outlineLevel="0" collapsed="false">
      <c r="C10" s="26" t="s">
        <v>34</v>
      </c>
      <c r="D10" s="8" t="s">
        <v>33</v>
      </c>
      <c r="E10" s="27" t="str">
        <f aca="false">VLOOKUP(C10,Personnel!$E$9:$I$16,2,FALSE())</f>
        <v>Repatriate</v>
      </c>
      <c r="F10" s="27" t="str">
        <f aca="false">VLOOKUP(C10,Personnel!$E$9:$I$16,5,FALSE())</f>
        <v>Local — Venezuela</v>
      </c>
      <c r="G10" s="32" t="n">
        <f aca="false">VLOOKUP(C10,Personnel!$E$9:$Y$16,21,FALSE())/12</f>
        <v>15000</v>
      </c>
      <c r="H10" s="29" t="n">
        <v>12000</v>
      </c>
      <c r="I10" s="15" t="n">
        <f aca="false">H10/12</f>
        <v>1000</v>
      </c>
      <c r="J10" s="15" t="n">
        <f aca="false">$G10+$I10</f>
        <v>16000</v>
      </c>
      <c r="K10" s="15" t="n">
        <f aca="false">$G10+$I10</f>
        <v>16000</v>
      </c>
      <c r="L10" s="15" t="n">
        <f aca="false">$G10+$I10</f>
        <v>16000</v>
      </c>
      <c r="M10" s="15" t="n">
        <f aca="false">$G10+$I10</f>
        <v>16000</v>
      </c>
      <c r="N10" s="15" t="n">
        <f aca="false">$G10+$I10</f>
        <v>16000</v>
      </c>
      <c r="O10" s="15" t="n">
        <f aca="false">$G10+$I10</f>
        <v>16000</v>
      </c>
      <c r="P10" s="34" t="n">
        <f aca="false">IF($E10="Repatriate",$G10*'Repatriation Package'!$D$15,0)</f>
        <v>22500</v>
      </c>
      <c r="Q10" s="35" t="n">
        <f aca="false">$G10+$I10+$Y10</f>
        <v>16000</v>
      </c>
      <c r="R10" s="35" t="n">
        <f aca="false">P10+Q10</f>
        <v>38500</v>
      </c>
      <c r="S10" s="32" t="n">
        <f aca="false">$G10+$I10+$Y10+IF(8='Alan Expat Package'!$D$12,$Z10,0)+IF(8='Alan Expat Package'!$D$13,$Z10,0)</f>
        <v>16000</v>
      </c>
      <c r="T10" s="32" t="n">
        <f aca="false">$G10+$I10+$Y10+IF(9='Alan Expat Package'!$D$12,$Z10,0)+IF(9='Alan Expat Package'!$D$13,$Z10,0)</f>
        <v>16000</v>
      </c>
      <c r="U10" s="32" t="n">
        <f aca="false">$G10+$I10+$Y10+IF(10='Alan Expat Package'!$D$12,$Z10,0)+IF(10='Alan Expat Package'!$D$13,$Z10,0)</f>
        <v>16000</v>
      </c>
      <c r="V10" s="32" t="n">
        <f aca="false">$G10+$I10+$Y10+IF(11='Alan Expat Package'!$D$12,$Z10,0)+IF(11='Alan Expat Package'!$D$13,$Z10,0)</f>
        <v>16000</v>
      </c>
      <c r="W10" s="32" t="n">
        <f aca="false">$G10+$I10+$Y10+IF(12='Alan Expat Package'!$D$12,$Z10,0)+IF(12='Alan Expat Package'!$D$13,$Z10,0)</f>
        <v>16000</v>
      </c>
      <c r="X10" s="15" t="n">
        <f aca="false">SUM(J10:O10)+R10+SUM(S10:W10)</f>
        <v>214500</v>
      </c>
      <c r="Y10" s="32" t="n">
        <f aca="false">IF(C10="Alan McKeon",'Alan Expat Package'!$D$9,0)</f>
        <v>0</v>
      </c>
      <c r="Z10" s="32" t="n">
        <f aca="false">IF(C10="Alan McKeon",'Alan Expat Package'!$D$10,0)</f>
        <v>0</v>
      </c>
      <c r="AA10" s="33" t="str">
        <f aca="false">IF(C10="Alan McKeon",'Alan Expat Package'!$D$14,"Not applicable")</f>
        <v>Not applicable</v>
      </c>
    </row>
    <row r="11" customFormat="false" ht="31.5" hidden="false" customHeight="true" outlineLevel="0" collapsed="false">
      <c r="C11" s="26" t="s">
        <v>37</v>
      </c>
      <c r="D11" s="8" t="s">
        <v>36</v>
      </c>
      <c r="E11" s="27" t="str">
        <f aca="false">VLOOKUP(C11,Personnel!$E$9:$I$16,2,FALSE())</f>
        <v>Repatriate</v>
      </c>
      <c r="F11" s="27" t="str">
        <f aca="false">VLOOKUP(C11,Personnel!$E$9:$I$16,5,FALSE())</f>
        <v>Local — Venezuela</v>
      </c>
      <c r="G11" s="32" t="n">
        <f aca="false">VLOOKUP(C11,Personnel!$E$9:$Y$16,21,FALSE())/12</f>
        <v>18000</v>
      </c>
      <c r="H11" s="29" t="n">
        <v>12000</v>
      </c>
      <c r="I11" s="15" t="n">
        <f aca="false">H11/12</f>
        <v>1000</v>
      </c>
      <c r="J11" s="15" t="n">
        <f aca="false">$G11+$I11</f>
        <v>19000</v>
      </c>
      <c r="K11" s="15" t="n">
        <f aca="false">$G11+$I11</f>
        <v>19000</v>
      </c>
      <c r="L11" s="15" t="n">
        <f aca="false">$G11+$I11</f>
        <v>19000</v>
      </c>
      <c r="M11" s="15" t="n">
        <f aca="false">$G11+$I11</f>
        <v>19000</v>
      </c>
      <c r="N11" s="15" t="n">
        <f aca="false">$G11+$I11</f>
        <v>19000</v>
      </c>
      <c r="O11" s="15" t="n">
        <f aca="false">$G11+$I11</f>
        <v>19000</v>
      </c>
      <c r="P11" s="34" t="n">
        <f aca="false">IF($E11="Repatriate",$G11*'Repatriation Package'!$D$15,0)</f>
        <v>27000</v>
      </c>
      <c r="Q11" s="35" t="n">
        <f aca="false">$G11+$I11+$Y11</f>
        <v>19000</v>
      </c>
      <c r="R11" s="35" t="n">
        <f aca="false">P11+Q11</f>
        <v>46000</v>
      </c>
      <c r="S11" s="32" t="n">
        <f aca="false">$G11+$I11+$Y11+IF(8='Alan Expat Package'!$D$12,$Z11,0)+IF(8='Alan Expat Package'!$D$13,$Z11,0)</f>
        <v>19000</v>
      </c>
      <c r="T11" s="32" t="n">
        <f aca="false">$G11+$I11+$Y11+IF(9='Alan Expat Package'!$D$12,$Z11,0)+IF(9='Alan Expat Package'!$D$13,$Z11,0)</f>
        <v>19000</v>
      </c>
      <c r="U11" s="32" t="n">
        <f aca="false">$G11+$I11+$Y11+IF(10='Alan Expat Package'!$D$12,$Z11,0)+IF(10='Alan Expat Package'!$D$13,$Z11,0)</f>
        <v>19000</v>
      </c>
      <c r="V11" s="32" t="n">
        <f aca="false">$G11+$I11+$Y11+IF(11='Alan Expat Package'!$D$12,$Z11,0)+IF(11='Alan Expat Package'!$D$13,$Z11,0)</f>
        <v>19000</v>
      </c>
      <c r="W11" s="32" t="n">
        <f aca="false">$G11+$I11+$Y11+IF(12='Alan Expat Package'!$D$12,$Z11,0)+IF(12='Alan Expat Package'!$D$13,$Z11,0)</f>
        <v>19000</v>
      </c>
      <c r="X11" s="15" t="n">
        <f aca="false">SUM(J11:O11)+R11+SUM(S11:W11)</f>
        <v>255000</v>
      </c>
      <c r="Y11" s="32" t="n">
        <f aca="false">IF(C11="Alan McKeon",'Alan Expat Package'!$D$9,0)</f>
        <v>0</v>
      </c>
      <c r="Z11" s="32" t="n">
        <f aca="false">IF(C11="Alan McKeon",'Alan Expat Package'!$D$10,0)</f>
        <v>0</v>
      </c>
      <c r="AA11" s="33" t="str">
        <f aca="false">IF(C11="Alan McKeon",'Alan Expat Package'!$D$14,"Not applicable")</f>
        <v>Not applicable</v>
      </c>
    </row>
    <row r="12" customFormat="false" ht="31.5" hidden="false" customHeight="true" outlineLevel="0" collapsed="false">
      <c r="C12" s="26" t="s">
        <v>39</v>
      </c>
      <c r="D12" s="8" t="s">
        <v>38</v>
      </c>
      <c r="E12" s="27" t="str">
        <f aca="false">VLOOKUP(C12,Personnel!$E$9:$I$16,2,FALSE())</f>
        <v>Expat</v>
      </c>
      <c r="F12" s="27" t="str">
        <f aca="false">VLOOKUP(C12,Personnel!$E$9:$I$16,5,FALSE())</f>
        <v>Expat</v>
      </c>
      <c r="G12" s="32" t="n">
        <f aca="false">VLOOKUP(C12,Personnel!$E$9:$Y$16,21,FALSE())/12</f>
        <v>15000</v>
      </c>
      <c r="H12" s="29" t="n">
        <v>12000</v>
      </c>
      <c r="I12" s="15" t="n">
        <f aca="false">H12/12</f>
        <v>1000</v>
      </c>
      <c r="J12" s="15" t="n">
        <f aca="false">$G12+$I12</f>
        <v>16000</v>
      </c>
      <c r="K12" s="15" t="n">
        <f aca="false">$G12+$I12</f>
        <v>16000</v>
      </c>
      <c r="L12" s="15" t="n">
        <f aca="false">$G12+$I12</f>
        <v>16000</v>
      </c>
      <c r="M12" s="15" t="n">
        <f aca="false">$G12+$I12</f>
        <v>16000</v>
      </c>
      <c r="N12" s="15" t="n">
        <f aca="false">$G12+$I12</f>
        <v>16000</v>
      </c>
      <c r="O12" s="15" t="n">
        <f aca="false">$G12+$I12</f>
        <v>16000</v>
      </c>
      <c r="P12" s="34" t="n">
        <f aca="false">IF($E12="Repatriate",$G12*'Repatriation Package'!$D$15,0)</f>
        <v>0</v>
      </c>
      <c r="Q12" s="35" t="n">
        <f aca="false">$G12+$I12+$Y12</f>
        <v>18000</v>
      </c>
      <c r="R12" s="35" t="n">
        <f aca="false">P12+Q12</f>
        <v>18000</v>
      </c>
      <c r="S12" s="32" t="n">
        <f aca="false">$G12+$I12+$Y12+IF(8='Alan Expat Package'!$D$12,$Z12,0)+IF(8='Alan Expat Package'!$D$13,$Z12,0)</f>
        <v>18000</v>
      </c>
      <c r="T12" s="32" t="n">
        <f aca="false">$G12+$I12+$Y12+IF(9='Alan Expat Package'!$D$12,$Z12,0)+IF(9='Alan Expat Package'!$D$13,$Z12,0)</f>
        <v>24000</v>
      </c>
      <c r="U12" s="32" t="n">
        <f aca="false">$G12+$I12+$Y12+IF(10='Alan Expat Package'!$D$12,$Z12,0)+IF(10='Alan Expat Package'!$D$13,$Z12,0)</f>
        <v>18000</v>
      </c>
      <c r="V12" s="32" t="n">
        <f aca="false">$G12+$I12+$Y12+IF(11='Alan Expat Package'!$D$12,$Z12,0)+IF(11='Alan Expat Package'!$D$13,$Z12,0)</f>
        <v>18000</v>
      </c>
      <c r="W12" s="32" t="n">
        <f aca="false">$G12+$I12+$Y12+IF(12='Alan Expat Package'!$D$12,$Z12,0)+IF(12='Alan Expat Package'!$D$13,$Z12,0)</f>
        <v>24000</v>
      </c>
      <c r="X12" s="15" t="n">
        <f aca="false">SUM(J12:O12)+R12+SUM(S12:W12)</f>
        <v>216000</v>
      </c>
      <c r="Y12" s="32" t="n">
        <f aca="false">IF(C12="Alan McKeon",'Alan Expat Package'!$D$9,0)</f>
        <v>2000</v>
      </c>
      <c r="Z12" s="32" t="n">
        <f aca="false">IF(C12="Alan McKeon",'Alan Expat Package'!$D$10,0)</f>
        <v>6000</v>
      </c>
      <c r="AA12" s="33" t="str">
        <f aca="false">IF(C12="Alan McKeon",'Alan Expat Package'!$D$14,"Not applicable")</f>
        <v>Maracaibo</v>
      </c>
    </row>
    <row r="13" customFormat="false" ht="31.5" hidden="false" customHeight="true" outlineLevel="0" collapsed="false">
      <c r="C13" s="26" t="s">
        <v>44</v>
      </c>
      <c r="D13" s="8" t="s">
        <v>43</v>
      </c>
      <c r="E13" s="27" t="str">
        <f aca="false">VLOOKUP(C13,Personnel!$E$9:$I$16,2,FALSE())</f>
        <v>Local</v>
      </c>
      <c r="F13" s="27" t="str">
        <f aca="false">VLOOKUP(C13,Personnel!$E$9:$I$16,5,FALSE())</f>
        <v>Local</v>
      </c>
      <c r="G13" s="32" t="n">
        <f aca="false">VLOOKUP(C13,Personnel!$E$9:$Y$16,21,FALSE())/12</f>
        <v>10000</v>
      </c>
      <c r="H13" s="29" t="n">
        <v>12000</v>
      </c>
      <c r="I13" s="15" t="n">
        <f aca="false">H13/12</f>
        <v>1000</v>
      </c>
      <c r="J13" s="15" t="n">
        <f aca="false">$G13+$I13</f>
        <v>11000</v>
      </c>
      <c r="K13" s="15" t="n">
        <f aca="false">$G13+$I13</f>
        <v>11000</v>
      </c>
      <c r="L13" s="15" t="n">
        <f aca="false">$G13+$I13</f>
        <v>11000</v>
      </c>
      <c r="M13" s="15" t="n">
        <f aca="false">$G13+$I13</f>
        <v>11000</v>
      </c>
      <c r="N13" s="15" t="n">
        <f aca="false">$G13+$I13</f>
        <v>11000</v>
      </c>
      <c r="O13" s="15" t="n">
        <f aca="false">$G13+$I13</f>
        <v>11000</v>
      </c>
      <c r="P13" s="34" t="n">
        <f aca="false">IF($E13="Repatriate",$G13*'Repatriation Package'!$D$15,0)</f>
        <v>0</v>
      </c>
      <c r="Q13" s="35" t="n">
        <f aca="false">$G13+$I13+$Y13</f>
        <v>11000</v>
      </c>
      <c r="R13" s="35" t="n">
        <f aca="false">P13+Q13</f>
        <v>11000</v>
      </c>
      <c r="S13" s="32" t="n">
        <f aca="false">$G13+$I13+$Y13+IF(8='Alan Expat Package'!$D$12,$Z13,0)+IF(8='Alan Expat Package'!$D$13,$Z13,0)</f>
        <v>11000</v>
      </c>
      <c r="T13" s="32" t="n">
        <f aca="false">$G13+$I13+$Y13+IF(9='Alan Expat Package'!$D$12,$Z13,0)+IF(9='Alan Expat Package'!$D$13,$Z13,0)</f>
        <v>11000</v>
      </c>
      <c r="U13" s="32" t="n">
        <f aca="false">$G13+$I13+$Y13+IF(10='Alan Expat Package'!$D$12,$Z13,0)+IF(10='Alan Expat Package'!$D$13,$Z13,0)</f>
        <v>11000</v>
      </c>
      <c r="V13" s="32" t="n">
        <f aca="false">$G13+$I13+$Y13+IF(11='Alan Expat Package'!$D$12,$Z13,0)+IF(11='Alan Expat Package'!$D$13,$Z13,0)</f>
        <v>11000</v>
      </c>
      <c r="W13" s="32" t="n">
        <f aca="false">$G13+$I13+$Y13+IF(12='Alan Expat Package'!$D$12,$Z13,0)+IF(12='Alan Expat Package'!$D$13,$Z13,0)</f>
        <v>11000</v>
      </c>
      <c r="X13" s="15" t="n">
        <f aca="false">SUM(J13:O13)+R13+SUM(S13:W13)</f>
        <v>132000</v>
      </c>
      <c r="Y13" s="32" t="n">
        <f aca="false">IF(C13="Alan McKeon",'Alan Expat Package'!$D$9,0)</f>
        <v>0</v>
      </c>
      <c r="Z13" s="32" t="n">
        <f aca="false">IF(C13="Alan McKeon",'Alan Expat Package'!$D$10,0)</f>
        <v>0</v>
      </c>
      <c r="AA13" s="33" t="str">
        <f aca="false">IF(C13="Alan McKeon",'Alan Expat Package'!$D$14,"Not applicable")</f>
        <v>Not applicable</v>
      </c>
    </row>
    <row r="14" customFormat="false" ht="31.5" hidden="false" customHeight="true" outlineLevel="0" collapsed="false">
      <c r="C14" s="26" t="s">
        <v>49</v>
      </c>
      <c r="D14" s="8" t="s">
        <v>48</v>
      </c>
      <c r="E14" s="27" t="str">
        <f aca="false">VLOOKUP(C14,Personnel!$E$9:$I$16,2,FALSE())</f>
        <v>Expat</v>
      </c>
      <c r="F14" s="27" t="str">
        <f aca="false">VLOOKUP(C14,Personnel!$E$9:$I$16,5,FALSE())</f>
        <v>Expat</v>
      </c>
      <c r="G14" s="32" t="n">
        <f aca="false">VLOOKUP(C14,Personnel!$E$9:$Y$16,21,FALSE())/12</f>
        <v>15000</v>
      </c>
      <c r="H14" s="29" t="n">
        <v>12000</v>
      </c>
      <c r="I14" s="15" t="n">
        <f aca="false">H14/12</f>
        <v>1000</v>
      </c>
      <c r="J14" s="15" t="n">
        <f aca="false">$G14+$I14</f>
        <v>16000</v>
      </c>
      <c r="K14" s="15" t="n">
        <f aca="false">$G14+$I14</f>
        <v>16000</v>
      </c>
      <c r="L14" s="15" t="n">
        <f aca="false">$G14+$I14</f>
        <v>16000</v>
      </c>
      <c r="M14" s="15" t="n">
        <f aca="false">$G14+$I14</f>
        <v>16000</v>
      </c>
      <c r="N14" s="15" t="n">
        <f aca="false">$G14+$I14</f>
        <v>16000</v>
      </c>
      <c r="O14" s="15" t="n">
        <f aca="false">$G14+$I14</f>
        <v>16000</v>
      </c>
      <c r="P14" s="34" t="n">
        <f aca="false">IF($E14="Repatriate",$G14*'Repatriation Package'!$D$15,0)</f>
        <v>0</v>
      </c>
      <c r="Q14" s="35" t="n">
        <f aca="false">$G14+$I14+$Y14</f>
        <v>16000</v>
      </c>
      <c r="R14" s="35" t="n">
        <f aca="false">P14+Q14</f>
        <v>16000</v>
      </c>
      <c r="S14" s="32" t="n">
        <f aca="false">$G14+$I14+$Y14+IF(8='Alan Expat Package'!$D$12,$Z14,0)+IF(8='Alan Expat Package'!$D$13,$Z14,0)</f>
        <v>16000</v>
      </c>
      <c r="T14" s="32" t="n">
        <f aca="false">$G14+$I14+$Y14+IF(9='Alan Expat Package'!$D$12,$Z14,0)+IF(9='Alan Expat Package'!$D$13,$Z14,0)</f>
        <v>16000</v>
      </c>
      <c r="U14" s="32" t="n">
        <f aca="false">$G14+$I14+$Y14+IF(10='Alan Expat Package'!$D$12,$Z14,0)+IF(10='Alan Expat Package'!$D$13,$Z14,0)</f>
        <v>16000</v>
      </c>
      <c r="V14" s="32" t="n">
        <f aca="false">$G14+$I14+$Y14+IF(11='Alan Expat Package'!$D$12,$Z14,0)+IF(11='Alan Expat Package'!$D$13,$Z14,0)</f>
        <v>16000</v>
      </c>
      <c r="W14" s="32" t="n">
        <f aca="false">$G14+$I14+$Y14+IF(12='Alan Expat Package'!$D$12,$Z14,0)+IF(12='Alan Expat Package'!$D$13,$Z14,0)</f>
        <v>16000</v>
      </c>
      <c r="X14" s="15" t="n">
        <f aca="false">SUM(J14:O14)+R14+SUM(S14:W14)</f>
        <v>192000</v>
      </c>
      <c r="Y14" s="32" t="n">
        <f aca="false">IF(C14="Alan McKeon",'Alan Expat Package'!$D$9,0)</f>
        <v>0</v>
      </c>
      <c r="Z14" s="32" t="n">
        <f aca="false">IF(C14="Alan McKeon",'Alan Expat Package'!$D$10,0)</f>
        <v>0</v>
      </c>
      <c r="AA14" s="33" t="str">
        <f aca="false">IF(C14="Alan McKeon",'Alan Expat Package'!$D$14,"Not applicable")</f>
        <v>Not applicable</v>
      </c>
    </row>
    <row r="15" customFormat="false" ht="31.5" hidden="false" customHeight="true" outlineLevel="0" collapsed="false">
      <c r="C15" s="26" t="s">
        <v>53</v>
      </c>
      <c r="D15" s="8" t="s">
        <v>52</v>
      </c>
      <c r="E15" s="27" t="str">
        <f aca="false">VLOOKUP(C15,Personnel!$E$9:$I$16,2,FALSE())</f>
        <v>Local</v>
      </c>
      <c r="F15" s="27" t="str">
        <f aca="false">VLOOKUP(C15,Personnel!$E$9:$I$16,5,FALSE())</f>
        <v>Local</v>
      </c>
      <c r="G15" s="32" t="n">
        <f aca="false">VLOOKUP(C15,Personnel!$E$9:$Y$16,21,FALSE())/12</f>
        <v>4000</v>
      </c>
      <c r="H15" s="29" t="n">
        <v>8000</v>
      </c>
      <c r="I15" s="15" t="n">
        <f aca="false">H15/12</f>
        <v>666.666666666667</v>
      </c>
      <c r="J15" s="15" t="n">
        <f aca="false">$G15+$I15</f>
        <v>4666.66666666667</v>
      </c>
      <c r="K15" s="15" t="n">
        <f aca="false">$G15+$I15</f>
        <v>4666.66666666667</v>
      </c>
      <c r="L15" s="15" t="n">
        <f aca="false">$G15+$I15</f>
        <v>4666.66666666667</v>
      </c>
      <c r="M15" s="15" t="n">
        <f aca="false">$G15+$I15</f>
        <v>4666.66666666667</v>
      </c>
      <c r="N15" s="15" t="n">
        <f aca="false">$G15+$I15</f>
        <v>4666.66666666667</v>
      </c>
      <c r="O15" s="15" t="n">
        <f aca="false">$G15+$I15</f>
        <v>4666.66666666667</v>
      </c>
      <c r="P15" s="34" t="n">
        <f aca="false">IF($E15="Repatriate",$G15*'Repatriation Package'!$D$15,0)</f>
        <v>0</v>
      </c>
      <c r="Q15" s="35" t="n">
        <f aca="false">$G15+$I15+$Y15</f>
        <v>4666.66666666667</v>
      </c>
      <c r="R15" s="35" t="n">
        <f aca="false">P15+Q15</f>
        <v>4666.66666666667</v>
      </c>
      <c r="S15" s="32" t="n">
        <f aca="false">$G15+$I15+$Y15+IF(8='Alan Expat Package'!$D$12,$Z15,0)+IF(8='Alan Expat Package'!$D$13,$Z15,0)</f>
        <v>4666.66666666667</v>
      </c>
      <c r="T15" s="32" t="n">
        <f aca="false">$G15+$I15+$Y15+IF(9='Alan Expat Package'!$D$12,$Z15,0)+IF(9='Alan Expat Package'!$D$13,$Z15,0)</f>
        <v>4666.66666666667</v>
      </c>
      <c r="U15" s="32" t="n">
        <f aca="false">$G15+$I15+$Y15+IF(10='Alan Expat Package'!$D$12,$Z15,0)+IF(10='Alan Expat Package'!$D$13,$Z15,0)</f>
        <v>4666.66666666667</v>
      </c>
      <c r="V15" s="32" t="n">
        <f aca="false">$G15+$I15+$Y15+IF(11='Alan Expat Package'!$D$12,$Z15,0)+IF(11='Alan Expat Package'!$D$13,$Z15,0)</f>
        <v>4666.66666666667</v>
      </c>
      <c r="W15" s="32" t="n">
        <f aca="false">$G15+$I15+$Y15+IF(12='Alan Expat Package'!$D$12,$Z15,0)+IF(12='Alan Expat Package'!$D$13,$Z15,0)</f>
        <v>4666.66666666667</v>
      </c>
      <c r="X15" s="15" t="n">
        <f aca="false">SUM(J15:O15)+R15+SUM(S15:W15)</f>
        <v>56000</v>
      </c>
      <c r="Y15" s="32" t="n">
        <f aca="false">IF(C15="Alan McKeon",'Alan Expat Package'!$D$9,0)</f>
        <v>0</v>
      </c>
      <c r="Z15" s="32" t="n">
        <f aca="false">IF(C15="Alan McKeon",'Alan Expat Package'!$D$10,0)</f>
        <v>0</v>
      </c>
      <c r="AA15" s="33" t="str">
        <f aca="false">IF(C15="Alan McKeon",'Alan Expat Package'!$D$14,"Not applicable")</f>
        <v>Not applicable</v>
      </c>
    </row>
    <row r="16" customFormat="false" ht="31.5" hidden="false" customHeight="true" outlineLevel="0" collapsed="false">
      <c r="C16" s="26" t="s">
        <v>56</v>
      </c>
      <c r="D16" s="8" t="s">
        <v>55</v>
      </c>
      <c r="E16" s="27" t="str">
        <f aca="false">VLOOKUP(C16,Personnel!$E$9:$I$16,2,FALSE())</f>
        <v>TBD</v>
      </c>
      <c r="F16" s="27" t="str">
        <f aca="false">VLOOKUP(C16,Personnel!$E$9:$I$16,5,FALSE())</f>
        <v>TBD</v>
      </c>
      <c r="G16" s="32" t="n">
        <f aca="false">VLOOKUP(C16,Personnel!$E$9:$Y$16,21,FALSE())/12</f>
        <v>4000</v>
      </c>
      <c r="H16" s="29" t="n">
        <v>8000</v>
      </c>
      <c r="I16" s="15" t="n">
        <f aca="false">H16/12</f>
        <v>666.666666666667</v>
      </c>
      <c r="J16" s="15" t="n">
        <f aca="false">$G16+$I16</f>
        <v>4666.66666666667</v>
      </c>
      <c r="K16" s="15" t="n">
        <f aca="false">$G16+$I16</f>
        <v>4666.66666666667</v>
      </c>
      <c r="L16" s="15" t="n">
        <f aca="false">$G16+$I16</f>
        <v>4666.66666666667</v>
      </c>
      <c r="M16" s="15" t="n">
        <f aca="false">$G16+$I16</f>
        <v>4666.66666666667</v>
      </c>
      <c r="N16" s="15" t="n">
        <f aca="false">$G16+$I16</f>
        <v>4666.66666666667</v>
      </c>
      <c r="O16" s="15" t="n">
        <f aca="false">$G16+$I16</f>
        <v>4666.66666666667</v>
      </c>
      <c r="P16" s="34" t="n">
        <f aca="false">IF($E16="Repatriate",$G16*'Repatriation Package'!$D$15,0)</f>
        <v>0</v>
      </c>
      <c r="Q16" s="35" t="n">
        <f aca="false">$G16+$I16+$Y16</f>
        <v>4666.66666666667</v>
      </c>
      <c r="R16" s="35" t="n">
        <f aca="false">P16+Q16</f>
        <v>4666.66666666667</v>
      </c>
      <c r="S16" s="32" t="n">
        <f aca="false">$G16+$I16+$Y16+IF(8='Alan Expat Package'!$D$12,$Z16,0)+IF(8='Alan Expat Package'!$D$13,$Z16,0)</f>
        <v>4666.66666666667</v>
      </c>
      <c r="T16" s="32" t="n">
        <f aca="false">$G16+$I16+$Y16+IF(9='Alan Expat Package'!$D$12,$Z16,0)+IF(9='Alan Expat Package'!$D$13,$Z16,0)</f>
        <v>4666.66666666667</v>
      </c>
      <c r="U16" s="32" t="n">
        <f aca="false">$G16+$I16+$Y16+IF(10='Alan Expat Package'!$D$12,$Z16,0)+IF(10='Alan Expat Package'!$D$13,$Z16,0)</f>
        <v>4666.66666666667</v>
      </c>
      <c r="V16" s="32" t="n">
        <f aca="false">$G16+$I16+$Y16+IF(11='Alan Expat Package'!$D$12,$Z16,0)+IF(11='Alan Expat Package'!$D$13,$Z16,0)</f>
        <v>4666.66666666667</v>
      </c>
      <c r="W16" s="32" t="n">
        <f aca="false">$G16+$I16+$Y16+IF(12='Alan Expat Package'!$D$12,$Z16,0)+IF(12='Alan Expat Package'!$D$13,$Z16,0)</f>
        <v>4666.66666666667</v>
      </c>
      <c r="X16" s="15" t="n">
        <f aca="false">SUM(J16:O16)+R16+SUM(S16:W16)</f>
        <v>56000</v>
      </c>
      <c r="Y16" s="32" t="n">
        <f aca="false">IF(C16="Alan McKeon",'Alan Expat Package'!$D$9,0)</f>
        <v>0</v>
      </c>
      <c r="Z16" s="32" t="n">
        <f aca="false">IF(C16="Alan McKeon",'Alan Expat Package'!$D$10,0)</f>
        <v>0</v>
      </c>
      <c r="AA16" s="33" t="str">
        <f aca="false">IF(C16="Alan McKeon",'Alan Expat Package'!$D$14,"Not applicable")</f>
        <v>Not applicable</v>
      </c>
    </row>
    <row r="17" customFormat="false" ht="15" hidden="false" customHeight="false" outlineLevel="0" collapsed="false">
      <c r="C17" s="18" t="s">
        <v>102</v>
      </c>
      <c r="D17" s="18"/>
      <c r="E17" s="18"/>
      <c r="F17" s="18"/>
      <c r="G17" s="19" t="n">
        <f aca="false">SUM(G9:G16)</f>
        <v>99000</v>
      </c>
      <c r="H17" s="20" t="n">
        <f aca="false">SUM(H9:H16)</f>
        <v>88000</v>
      </c>
      <c r="I17" s="20" t="n">
        <f aca="false">SUM(I9:I16)</f>
        <v>7333.33333333333</v>
      </c>
      <c r="J17" s="20" t="n">
        <f aca="false">SUM(J9:J16)</f>
        <v>106333.333333333</v>
      </c>
      <c r="K17" s="20" t="n">
        <f aca="false">SUM(K9:K16)</f>
        <v>106333.333333333</v>
      </c>
      <c r="L17" s="20" t="n">
        <f aca="false">SUM(L9:L16)</f>
        <v>106333.333333333</v>
      </c>
      <c r="M17" s="20" t="n">
        <f aca="false">SUM(M9:M16)</f>
        <v>106333.333333333</v>
      </c>
      <c r="N17" s="20" t="n">
        <f aca="false">SUM(N9:N16)</f>
        <v>106333.333333333</v>
      </c>
      <c r="O17" s="20" t="n">
        <f aca="false">SUM(O9:O16)</f>
        <v>106333.333333333</v>
      </c>
      <c r="P17" s="36" t="n">
        <f aca="false">SUM(P9:P16)</f>
        <v>76500</v>
      </c>
      <c r="Q17" s="36" t="n">
        <f aca="false">SUM(Q9:Q16)</f>
        <v>108333.333333333</v>
      </c>
      <c r="R17" s="36" t="n">
        <f aca="false">SUM(R9:R16)</f>
        <v>184833.333333333</v>
      </c>
      <c r="S17" s="20" t="n">
        <f aca="false">SUM(S9:S16)</f>
        <v>108333.333333333</v>
      </c>
      <c r="T17" s="20" t="n">
        <f aca="false">SUM(T9:T16)</f>
        <v>114333.333333333</v>
      </c>
      <c r="U17" s="20" t="n">
        <f aca="false">SUM(U9:U16)</f>
        <v>108333.333333333</v>
      </c>
      <c r="V17" s="20" t="n">
        <f aca="false">SUM(V9:V16)</f>
        <v>108333.333333333</v>
      </c>
      <c r="W17" s="20" t="n">
        <f aca="false">SUM(W9:W16)</f>
        <v>114333.333333333</v>
      </c>
      <c r="X17" s="20" t="n">
        <f aca="false">SUM(X9:X16)</f>
        <v>1376500</v>
      </c>
      <c r="Y17" s="20" t="n">
        <f aca="false">SUM(Y9:Y16)</f>
        <v>2000</v>
      </c>
      <c r="Z17" s="20" t="n">
        <f aca="false">SUM(Z9:Z16)</f>
        <v>6000</v>
      </c>
      <c r="AA17" s="37" t="s">
        <v>103</v>
      </c>
    </row>
    <row r="20" customFormat="false" ht="15" hidden="false" customHeight="true" outlineLevel="0" collapsed="false">
      <c r="C20" s="21" t="s">
        <v>104</v>
      </c>
      <c r="D20" s="21"/>
      <c r="E20" s="21"/>
      <c r="F20" s="21"/>
      <c r="G20" s="21"/>
      <c r="H20" s="21"/>
      <c r="J20" s="38" t="s">
        <v>105</v>
      </c>
      <c r="K20" s="38"/>
      <c r="L20" s="38"/>
      <c r="M20" s="38"/>
      <c r="N20" s="38"/>
      <c r="O20" s="38"/>
      <c r="P20" s="38"/>
      <c r="Q20" s="38"/>
      <c r="R20" s="38"/>
      <c r="S20" s="38"/>
      <c r="T20" s="38"/>
      <c r="U20" s="38"/>
      <c r="V20" s="38"/>
      <c r="W20" s="38"/>
      <c r="X20" s="38"/>
      <c r="Y20" s="38"/>
      <c r="Z20" s="38"/>
      <c r="AA20" s="38"/>
    </row>
    <row r="21" customFormat="false" ht="33.75" hidden="false" customHeight="true" outlineLevel="0" collapsed="false">
      <c r="C21" s="4" t="s">
        <v>61</v>
      </c>
      <c r="D21" s="5" t="s">
        <v>106</v>
      </c>
      <c r="E21" s="6" t="s">
        <v>107</v>
      </c>
      <c r="J21" s="38"/>
      <c r="K21" s="38"/>
      <c r="L21" s="38"/>
      <c r="M21" s="38"/>
      <c r="N21" s="38"/>
      <c r="O21" s="38"/>
      <c r="P21" s="38"/>
      <c r="Q21" s="38"/>
      <c r="R21" s="38"/>
      <c r="S21" s="38"/>
      <c r="T21" s="38"/>
      <c r="U21" s="38"/>
      <c r="V21" s="38"/>
      <c r="W21" s="38"/>
      <c r="X21" s="38"/>
      <c r="Y21" s="38"/>
      <c r="Z21" s="38"/>
      <c r="AA21" s="38"/>
    </row>
    <row r="22" customFormat="false" ht="23.85" hidden="false" customHeight="false" outlineLevel="0" collapsed="false">
      <c r="C22" s="22" t="s">
        <v>108</v>
      </c>
      <c r="D22" s="39" t="n">
        <f aca="false">G17</f>
        <v>99000</v>
      </c>
      <c r="E22" s="40" t="s">
        <v>109</v>
      </c>
      <c r="J22" s="38"/>
      <c r="K22" s="38"/>
      <c r="L22" s="38"/>
      <c r="M22" s="38"/>
      <c r="N22" s="38"/>
      <c r="O22" s="38"/>
      <c r="P22" s="38"/>
      <c r="Q22" s="38"/>
      <c r="R22" s="38"/>
      <c r="S22" s="38"/>
      <c r="T22" s="38"/>
      <c r="U22" s="38"/>
      <c r="V22" s="38"/>
      <c r="W22" s="38"/>
      <c r="X22" s="38"/>
      <c r="Y22" s="38"/>
      <c r="Z22" s="38"/>
      <c r="AA22" s="38"/>
    </row>
    <row r="23" customFormat="false" ht="23.85" hidden="false" customHeight="false" outlineLevel="0" collapsed="false">
      <c r="C23" s="22" t="s">
        <v>110</v>
      </c>
      <c r="D23" s="41" t="n">
        <f aca="false">I17</f>
        <v>7333.33333333333</v>
      </c>
      <c r="E23" s="40" t="s">
        <v>111</v>
      </c>
      <c r="J23" s="38"/>
      <c r="K23" s="38"/>
      <c r="L23" s="38"/>
      <c r="M23" s="38"/>
      <c r="N23" s="38"/>
      <c r="O23" s="38"/>
      <c r="P23" s="38"/>
      <c r="Q23" s="38"/>
      <c r="R23" s="38"/>
      <c r="S23" s="38"/>
      <c r="T23" s="38"/>
      <c r="U23" s="38"/>
      <c r="V23" s="38"/>
      <c r="W23" s="38"/>
      <c r="X23" s="38"/>
      <c r="Y23" s="38"/>
      <c r="Z23" s="38"/>
      <c r="AA23" s="38"/>
    </row>
    <row r="24" customFormat="false" ht="23.85" hidden="false" customHeight="false" outlineLevel="0" collapsed="false">
      <c r="C24" s="22" t="s">
        <v>112</v>
      </c>
      <c r="D24" s="41" t="n">
        <f aca="false">J17</f>
        <v>106333.333333333</v>
      </c>
      <c r="E24" s="40" t="s">
        <v>113</v>
      </c>
      <c r="J24" s="38"/>
      <c r="K24" s="38"/>
      <c r="L24" s="38"/>
      <c r="M24" s="38"/>
      <c r="N24" s="38"/>
      <c r="O24" s="38"/>
      <c r="P24" s="38"/>
      <c r="Q24" s="38"/>
      <c r="R24" s="38"/>
      <c r="S24" s="38"/>
      <c r="T24" s="38"/>
      <c r="U24" s="38"/>
      <c r="V24" s="38"/>
      <c r="W24" s="38"/>
      <c r="X24" s="38"/>
      <c r="Y24" s="38"/>
      <c r="Z24" s="38"/>
      <c r="AA24" s="38"/>
    </row>
    <row r="25" customFormat="false" ht="46.25" hidden="false" customHeight="false" outlineLevel="0" collapsed="false">
      <c r="C25" s="22" t="s">
        <v>114</v>
      </c>
      <c r="D25" s="41" t="n">
        <f aca="false">P17</f>
        <v>76500</v>
      </c>
      <c r="E25" s="40" t="s">
        <v>115</v>
      </c>
    </row>
    <row r="26" customFormat="false" ht="46.25" hidden="false" customHeight="false" outlineLevel="0" collapsed="false">
      <c r="C26" s="22" t="s">
        <v>116</v>
      </c>
      <c r="D26" s="41" t="n">
        <f aca="false">Y17</f>
        <v>2000</v>
      </c>
      <c r="E26" s="40" t="s">
        <v>117</v>
      </c>
    </row>
    <row r="27" customFormat="false" ht="35.05" hidden="false" customHeight="false" outlineLevel="0" collapsed="false">
      <c r="C27" s="22" t="s">
        <v>118</v>
      </c>
      <c r="D27" s="41" t="n">
        <f aca="false">Z17*2</f>
        <v>12000</v>
      </c>
      <c r="E27" s="40" t="s">
        <v>119</v>
      </c>
    </row>
    <row r="28" customFormat="false" ht="35.05" hidden="false" customHeight="false" outlineLevel="0" collapsed="false">
      <c r="C28" s="22" t="s">
        <v>120</v>
      </c>
      <c r="D28" s="41" t="n">
        <f aca="false">Q17</f>
        <v>108333.333333333</v>
      </c>
      <c r="E28" s="40" t="s">
        <v>121</v>
      </c>
    </row>
    <row r="29" customFormat="false" ht="23.85" hidden="false" customHeight="false" outlineLevel="0" collapsed="false">
      <c r="C29" s="22" t="s">
        <v>122</v>
      </c>
      <c r="D29" s="41" t="n">
        <f aca="false">R17</f>
        <v>184833.333333333</v>
      </c>
      <c r="E29" s="40" t="s">
        <v>123</v>
      </c>
    </row>
    <row r="30" customFormat="false" ht="35.05" hidden="false" customHeight="false" outlineLevel="0" collapsed="false">
      <c r="C30" s="22" t="s">
        <v>124</v>
      </c>
      <c r="D30" s="41" t="n">
        <f aca="false">SUM(J17:O17)+Q17+SUM(S17:W17)</f>
        <v>1300000</v>
      </c>
      <c r="E30" s="40" t="s">
        <v>125</v>
      </c>
    </row>
    <row r="31" customFormat="false" ht="23.85" hidden="false" customHeight="false" outlineLevel="0" collapsed="false">
      <c r="C31" s="22" t="s">
        <v>126</v>
      </c>
      <c r="D31" s="41" t="n">
        <f aca="false">P17</f>
        <v>76500</v>
      </c>
      <c r="E31" s="40" t="s">
        <v>127</v>
      </c>
    </row>
    <row r="32" customFormat="false" ht="46.25" hidden="false" customHeight="false" outlineLevel="0" collapsed="false">
      <c r="C32" s="22" t="s">
        <v>128</v>
      </c>
      <c r="D32" s="41" t="n">
        <f aca="false">X17</f>
        <v>1376500</v>
      </c>
      <c r="E32" s="40" t="s">
        <v>129</v>
      </c>
    </row>
  </sheetData>
  <mergeCells count="6">
    <mergeCell ref="C3:AA3"/>
    <mergeCell ref="C5:AA5"/>
    <mergeCell ref="C6:AA6"/>
    <mergeCell ref="C17:F17"/>
    <mergeCell ref="C20:H20"/>
    <mergeCell ref="J20:AA24"/>
  </mergeCell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&amp;C&amp;8 Monthly Costs | Page &amp;P of &amp;N</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3:I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2" min="1" style="0" width="20"/>
    <col collapsed="false" customWidth="true" hidden="false" outlineLevel="0" max="3" min="3" style="0" width="28"/>
    <col collapsed="false" customWidth="true" hidden="false" outlineLevel="0" max="5" min="4" style="0" width="16"/>
    <col collapsed="false" customWidth="true" hidden="false" outlineLevel="0" max="6" min="6" style="0" width="13"/>
    <col collapsed="false" customWidth="true" hidden="false" outlineLevel="0" max="7" min="7" style="0" width="24"/>
    <col collapsed="false" customWidth="true" hidden="false" outlineLevel="0" max="8" min="8" style="0" width="42"/>
    <col collapsed="false" customWidth="true" hidden="false" outlineLevel="0" max="9" min="9" style="0" width="12"/>
  </cols>
  <sheetData>
    <row r="3" customFormat="false" ht="24.75" hidden="false" customHeight="true" outlineLevel="0" collapsed="false">
      <c r="C3" s="1" t="s">
        <v>130</v>
      </c>
      <c r="D3" s="1"/>
      <c r="E3" s="1"/>
      <c r="F3" s="1"/>
      <c r="G3" s="1"/>
      <c r="H3" s="1"/>
      <c r="I3" s="1"/>
    </row>
    <row r="5" customFormat="false" ht="15" hidden="false" customHeight="false" outlineLevel="0" collapsed="false">
      <c r="C5" s="2" t="s">
        <v>131</v>
      </c>
      <c r="D5" s="2"/>
      <c r="E5" s="2"/>
      <c r="F5" s="2"/>
      <c r="G5" s="2"/>
      <c r="H5" s="2"/>
      <c r="I5" s="2"/>
    </row>
    <row r="6" customFormat="false" ht="15" hidden="false" customHeight="false" outlineLevel="0" collapsed="false">
      <c r="C6" s="3" t="s">
        <v>132</v>
      </c>
      <c r="D6" s="3"/>
      <c r="E6" s="3"/>
      <c r="F6" s="3"/>
      <c r="G6" s="3"/>
      <c r="H6" s="3"/>
      <c r="I6" s="3"/>
    </row>
    <row r="8" customFormat="false" ht="33.75" hidden="false" customHeight="true" outlineLevel="0" collapsed="false">
      <c r="C8" s="4" t="s">
        <v>133</v>
      </c>
      <c r="D8" s="5" t="s">
        <v>134</v>
      </c>
      <c r="E8" s="5" t="s">
        <v>135</v>
      </c>
      <c r="F8" s="5" t="s">
        <v>136</v>
      </c>
      <c r="G8" s="5" t="s">
        <v>137</v>
      </c>
      <c r="H8" s="6" t="s">
        <v>138</v>
      </c>
    </row>
    <row r="9" customFormat="false" ht="33.75" hidden="false" customHeight="true" outlineLevel="0" collapsed="false">
      <c r="C9" s="26" t="s">
        <v>139</v>
      </c>
      <c r="D9" s="42" t="n">
        <v>2000</v>
      </c>
      <c r="E9" s="8" t="s">
        <v>140</v>
      </c>
      <c r="F9" s="8" t="s">
        <v>141</v>
      </c>
      <c r="G9" s="8" t="s">
        <v>142</v>
      </c>
      <c r="H9" s="43" t="s">
        <v>143</v>
      </c>
    </row>
    <row r="10" customFormat="false" ht="33.75" hidden="false" customHeight="true" outlineLevel="0" collapsed="false">
      <c r="C10" s="26" t="s">
        <v>144</v>
      </c>
      <c r="D10" s="42" t="n">
        <v>6000</v>
      </c>
      <c r="E10" s="8" t="s">
        <v>145</v>
      </c>
      <c r="F10" s="8" t="s">
        <v>146</v>
      </c>
      <c r="G10" s="8" t="s">
        <v>142</v>
      </c>
      <c r="H10" s="43" t="s">
        <v>147</v>
      </c>
    </row>
    <row r="11" customFormat="false" ht="33.75" hidden="false" customHeight="true" outlineLevel="0" collapsed="false">
      <c r="C11" s="26" t="s">
        <v>148</v>
      </c>
      <c r="D11" s="44" t="n">
        <v>2</v>
      </c>
      <c r="E11" s="8" t="s">
        <v>149</v>
      </c>
      <c r="F11" s="8" t="s">
        <v>146</v>
      </c>
      <c r="G11" s="8" t="s">
        <v>142</v>
      </c>
      <c r="H11" s="43" t="s">
        <v>150</v>
      </c>
    </row>
    <row r="12" customFormat="false" ht="33.75" hidden="false" customHeight="true" outlineLevel="0" collapsed="false">
      <c r="C12" s="26" t="s">
        <v>151</v>
      </c>
      <c r="D12" s="44" t="n">
        <v>9</v>
      </c>
      <c r="E12" s="8" t="s">
        <v>152</v>
      </c>
      <c r="F12" s="8" t="s">
        <v>21</v>
      </c>
      <c r="G12" s="8" t="s">
        <v>142</v>
      </c>
      <c r="H12" s="43" t="s">
        <v>153</v>
      </c>
    </row>
    <row r="13" customFormat="false" ht="33.75" hidden="false" customHeight="true" outlineLevel="0" collapsed="false">
      <c r="C13" s="26" t="s">
        <v>154</v>
      </c>
      <c r="D13" s="44" t="n">
        <v>12</v>
      </c>
      <c r="E13" s="8" t="s">
        <v>152</v>
      </c>
      <c r="F13" s="8" t="s">
        <v>24</v>
      </c>
      <c r="G13" s="8" t="s">
        <v>142</v>
      </c>
      <c r="H13" s="43" t="s">
        <v>153</v>
      </c>
    </row>
    <row r="14" customFormat="false" ht="33.75" hidden="false" customHeight="true" outlineLevel="0" collapsed="false">
      <c r="C14" s="26" t="s">
        <v>155</v>
      </c>
      <c r="D14" s="8" t="s">
        <v>156</v>
      </c>
      <c r="E14" s="8" t="s">
        <v>157</v>
      </c>
      <c r="F14" s="8" t="s">
        <v>146</v>
      </c>
      <c r="G14" s="8" t="s">
        <v>158</v>
      </c>
      <c r="H14" s="43" t="s">
        <v>159</v>
      </c>
    </row>
    <row r="17" customFormat="false" ht="15" hidden="false" customHeight="false" outlineLevel="0" collapsed="false">
      <c r="C17" s="21" t="s">
        <v>160</v>
      </c>
      <c r="D17" s="21"/>
      <c r="E17" s="21"/>
      <c r="F17" s="21"/>
      <c r="G17" s="21"/>
      <c r="H17" s="21"/>
      <c r="I17" s="21"/>
    </row>
    <row r="18" customFormat="false" ht="33.75" hidden="false" customHeight="true" outlineLevel="0" collapsed="false">
      <c r="C18" s="4" t="s">
        <v>61</v>
      </c>
      <c r="D18" s="5" t="s">
        <v>106</v>
      </c>
      <c r="E18" s="6" t="s">
        <v>161</v>
      </c>
    </row>
    <row r="19" customFormat="false" ht="46.25" hidden="false" customHeight="false" outlineLevel="0" collapsed="false">
      <c r="C19" s="22" t="s">
        <v>162</v>
      </c>
      <c r="D19" s="39" t="n">
        <f aca="false">D9*6</f>
        <v>12000</v>
      </c>
      <c r="E19" s="40" t="s">
        <v>163</v>
      </c>
    </row>
    <row r="20" customFormat="false" ht="35.05" hidden="false" customHeight="false" outlineLevel="0" collapsed="false">
      <c r="C20" s="22" t="s">
        <v>164</v>
      </c>
      <c r="D20" s="41" t="n">
        <f aca="false">D10*D11</f>
        <v>12000</v>
      </c>
      <c r="E20" s="40" t="s">
        <v>165</v>
      </c>
    </row>
    <row r="21" customFormat="false" ht="46.25" hidden="false" customHeight="false" outlineLevel="0" collapsed="false">
      <c r="C21" s="22" t="s">
        <v>166</v>
      </c>
      <c r="D21" s="41" t="n">
        <f aca="false">D19+D20</f>
        <v>24000</v>
      </c>
      <c r="E21" s="40" t="s">
        <v>167</v>
      </c>
    </row>
    <row r="24" customFormat="false" ht="15" hidden="false" customHeight="true" outlineLevel="0" collapsed="false">
      <c r="C24" s="38" t="s">
        <v>168</v>
      </c>
      <c r="D24" s="38"/>
      <c r="E24" s="38"/>
      <c r="F24" s="38"/>
      <c r="G24" s="38"/>
      <c r="H24" s="38"/>
      <c r="I24" s="38"/>
    </row>
    <row r="25" customFormat="false" ht="15" hidden="false" customHeight="false" outlineLevel="0" collapsed="false">
      <c r="C25" s="38"/>
      <c r="D25" s="38"/>
      <c r="E25" s="38"/>
      <c r="F25" s="38"/>
      <c r="G25" s="38"/>
      <c r="H25" s="38"/>
      <c r="I25" s="38"/>
    </row>
    <row r="26" customFormat="false" ht="15" hidden="false" customHeight="false" outlineLevel="0" collapsed="false">
      <c r="C26" s="38"/>
      <c r="D26" s="38"/>
      <c r="E26" s="38"/>
      <c r="F26" s="38"/>
      <c r="G26" s="38"/>
      <c r="H26" s="38"/>
      <c r="I26" s="38"/>
    </row>
  </sheetData>
  <mergeCells count="5">
    <mergeCell ref="C3:I3"/>
    <mergeCell ref="C5:I5"/>
    <mergeCell ref="C6:I6"/>
    <mergeCell ref="C17:I17"/>
    <mergeCell ref="C24:I26"/>
  </mergeCell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&amp;C&amp;8 Alan Expat Package | Page &amp;P of &amp;N</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3:J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2" min="1" style="0" width="20"/>
    <col collapsed="false" customWidth="true" hidden="false" outlineLevel="0" max="3" min="3" style="0" width="32"/>
    <col collapsed="false" customWidth="true" hidden="false" outlineLevel="0" max="4" min="4" style="0" width="28"/>
    <col collapsed="false" customWidth="true" hidden="false" outlineLevel="0" max="5" min="5" style="0" width="16"/>
    <col collapsed="false" customWidth="true" hidden="false" outlineLevel="0" max="6" min="6" style="0" width="20"/>
    <col collapsed="false" customWidth="true" hidden="false" outlineLevel="0" max="7" min="7" style="0" width="38"/>
    <col collapsed="false" customWidth="true" hidden="false" outlineLevel="0" max="8" min="8" style="0" width="30"/>
    <col collapsed="false" customWidth="true" hidden="false" outlineLevel="0" max="9" min="9" style="0" width="24"/>
    <col collapsed="false" customWidth="true" hidden="false" outlineLevel="0" max="10" min="10" style="0" width="36"/>
  </cols>
  <sheetData>
    <row r="3" customFormat="false" ht="24.75" hidden="false" customHeight="true" outlineLevel="0" collapsed="false">
      <c r="C3" s="1" t="s">
        <v>169</v>
      </c>
      <c r="D3" s="1"/>
      <c r="E3" s="1"/>
      <c r="F3" s="1"/>
      <c r="G3" s="1"/>
      <c r="H3" s="1"/>
      <c r="I3" s="1"/>
      <c r="J3" s="1"/>
    </row>
    <row r="5" customFormat="false" ht="15" hidden="false" customHeight="false" outlineLevel="0" collapsed="false">
      <c r="C5" s="2" t="s">
        <v>170</v>
      </c>
      <c r="D5" s="2"/>
      <c r="E5" s="2"/>
      <c r="F5" s="2"/>
      <c r="G5" s="2"/>
      <c r="H5" s="2"/>
      <c r="I5" s="2"/>
      <c r="J5" s="2"/>
    </row>
    <row r="6" customFormat="false" ht="15" hidden="false" customHeight="false" outlineLevel="0" collapsed="false">
      <c r="C6" s="3" t="s">
        <v>171</v>
      </c>
      <c r="D6" s="3"/>
      <c r="E6" s="3"/>
      <c r="F6" s="3"/>
      <c r="G6" s="3"/>
      <c r="H6" s="3"/>
      <c r="I6" s="3"/>
      <c r="J6" s="3"/>
    </row>
    <row r="8" customFormat="false" ht="15" hidden="false" customHeight="false" outlineLevel="0" collapsed="false">
      <c r="C8" s="21" t="s">
        <v>172</v>
      </c>
      <c r="D8" s="21"/>
      <c r="E8" s="21"/>
      <c r="F8" s="21"/>
      <c r="G8" s="21"/>
      <c r="H8" s="21"/>
      <c r="I8" s="21"/>
      <c r="J8" s="21"/>
    </row>
    <row r="9" customFormat="false" ht="33.75" hidden="false" customHeight="true" outlineLevel="0" collapsed="false">
      <c r="C9" s="4" t="s">
        <v>173</v>
      </c>
      <c r="D9" s="5" t="s">
        <v>174</v>
      </c>
      <c r="E9" s="5" t="s">
        <v>136</v>
      </c>
      <c r="F9" s="5" t="s">
        <v>175</v>
      </c>
      <c r="G9" s="5" t="s">
        <v>176</v>
      </c>
      <c r="H9" s="6" t="s">
        <v>177</v>
      </c>
    </row>
    <row r="10" customFormat="false" ht="39.75" hidden="false" customHeight="true" outlineLevel="0" collapsed="false">
      <c r="C10" s="26" t="s">
        <v>178</v>
      </c>
      <c r="D10" s="45" t="n">
        <v>0.5</v>
      </c>
      <c r="E10" s="8" t="s">
        <v>19</v>
      </c>
      <c r="F10" s="8" t="s">
        <v>179</v>
      </c>
      <c r="G10" s="8" t="s">
        <v>180</v>
      </c>
      <c r="H10" s="43" t="s">
        <v>181</v>
      </c>
    </row>
    <row r="11" customFormat="false" ht="39.75" hidden="false" customHeight="true" outlineLevel="0" collapsed="false">
      <c r="C11" s="26" t="s">
        <v>182</v>
      </c>
      <c r="D11" s="45" t="n">
        <v>0.5</v>
      </c>
      <c r="E11" s="8" t="s">
        <v>19</v>
      </c>
      <c r="F11" s="8" t="s">
        <v>183</v>
      </c>
      <c r="G11" s="8" t="s">
        <v>184</v>
      </c>
      <c r="H11" s="43" t="s">
        <v>185</v>
      </c>
    </row>
    <row r="12" customFormat="false" ht="39.75" hidden="false" customHeight="true" outlineLevel="0" collapsed="false">
      <c r="C12" s="26" t="s">
        <v>186</v>
      </c>
      <c r="D12" s="45" t="n">
        <v>0.25</v>
      </c>
      <c r="E12" s="8" t="s">
        <v>19</v>
      </c>
      <c r="F12" s="8" t="s">
        <v>187</v>
      </c>
      <c r="G12" s="8" t="s">
        <v>188</v>
      </c>
      <c r="H12" s="43" t="s">
        <v>189</v>
      </c>
    </row>
    <row r="13" customFormat="false" ht="39.75" hidden="false" customHeight="true" outlineLevel="0" collapsed="false">
      <c r="C13" s="26" t="s">
        <v>190</v>
      </c>
      <c r="D13" s="45" t="n">
        <v>0.15</v>
      </c>
      <c r="E13" s="8" t="s">
        <v>19</v>
      </c>
      <c r="F13" s="8" t="s">
        <v>183</v>
      </c>
      <c r="G13" s="8" t="s">
        <v>191</v>
      </c>
      <c r="H13" s="43" t="s">
        <v>192</v>
      </c>
    </row>
    <row r="14" customFormat="false" ht="39.75" hidden="false" customHeight="true" outlineLevel="0" collapsed="false">
      <c r="C14" s="26" t="s">
        <v>193</v>
      </c>
      <c r="D14" s="45" t="n">
        <v>0.1</v>
      </c>
      <c r="E14" s="8" t="s">
        <v>19</v>
      </c>
      <c r="F14" s="8" t="s">
        <v>194</v>
      </c>
      <c r="G14" s="8" t="s">
        <v>195</v>
      </c>
      <c r="H14" s="43" t="s">
        <v>196</v>
      </c>
    </row>
    <row r="15" customFormat="false" ht="15" hidden="false" customHeight="false" outlineLevel="0" collapsed="false">
      <c r="C15" s="46" t="s">
        <v>197</v>
      </c>
      <c r="D15" s="47" t="n">
        <f aca="false">SUM(D10:D14)</f>
        <v>1.5</v>
      </c>
      <c r="E15" s="48"/>
      <c r="F15" s="48"/>
      <c r="G15" s="48"/>
      <c r="H15" s="49"/>
    </row>
    <row r="18" customFormat="false" ht="15" hidden="false" customHeight="false" outlineLevel="0" collapsed="false">
      <c r="C18" s="21" t="s">
        <v>198</v>
      </c>
      <c r="D18" s="21"/>
      <c r="E18" s="21"/>
      <c r="F18" s="21"/>
      <c r="G18" s="21"/>
      <c r="H18" s="21"/>
    </row>
    <row r="19" customFormat="false" ht="33.75" hidden="false" customHeight="true" outlineLevel="0" collapsed="false">
      <c r="C19" s="4" t="s">
        <v>199</v>
      </c>
      <c r="D19" s="6" t="s">
        <v>200</v>
      </c>
    </row>
    <row r="20" customFormat="false" ht="30" hidden="false" customHeight="true" outlineLevel="0" collapsed="false">
      <c r="C20" s="26" t="s">
        <v>201</v>
      </c>
      <c r="D20" s="43" t="s">
        <v>202</v>
      </c>
    </row>
    <row r="21" customFormat="false" ht="30" hidden="false" customHeight="true" outlineLevel="0" collapsed="false">
      <c r="C21" s="26" t="s">
        <v>203</v>
      </c>
      <c r="D21" s="43" t="s">
        <v>204</v>
      </c>
    </row>
    <row r="22" customFormat="false" ht="30" hidden="false" customHeight="true" outlineLevel="0" collapsed="false">
      <c r="C22" s="26" t="s">
        <v>205</v>
      </c>
      <c r="D22" s="43" t="s">
        <v>206</v>
      </c>
    </row>
    <row r="23" customFormat="false" ht="30" hidden="false" customHeight="true" outlineLevel="0" collapsed="false">
      <c r="C23" s="26" t="s">
        <v>207</v>
      </c>
      <c r="D23" s="43" t="s">
        <v>208</v>
      </c>
    </row>
    <row r="24" customFormat="false" ht="30" hidden="false" customHeight="true" outlineLevel="0" collapsed="false">
      <c r="C24" s="26" t="s">
        <v>209</v>
      </c>
      <c r="D24" s="43" t="s">
        <v>210</v>
      </c>
    </row>
    <row r="25" customFormat="false" ht="30" hidden="false" customHeight="true" outlineLevel="0" collapsed="false">
      <c r="C25" s="26" t="s">
        <v>211</v>
      </c>
      <c r="D25" s="43" t="s">
        <v>212</v>
      </c>
    </row>
    <row r="28" customFormat="false" ht="15" hidden="false" customHeight="false" outlineLevel="0" collapsed="false">
      <c r="C28" s="21" t="s">
        <v>213</v>
      </c>
      <c r="D28" s="21"/>
      <c r="E28" s="21"/>
      <c r="F28" s="21"/>
      <c r="G28" s="21"/>
      <c r="H28" s="21"/>
      <c r="I28" s="21"/>
      <c r="J28" s="21"/>
    </row>
    <row r="29" customFormat="false" ht="33.75" hidden="false" customHeight="true" outlineLevel="0" collapsed="false">
      <c r="C29" s="4" t="s">
        <v>5</v>
      </c>
      <c r="D29" s="5" t="s">
        <v>4</v>
      </c>
      <c r="E29" s="5" t="s">
        <v>214</v>
      </c>
      <c r="F29" s="5" t="s">
        <v>215</v>
      </c>
      <c r="G29" s="5" t="s">
        <v>216</v>
      </c>
      <c r="H29" s="5" t="s">
        <v>217</v>
      </c>
      <c r="I29" s="5" t="s">
        <v>218</v>
      </c>
      <c r="J29" s="6" t="s">
        <v>12</v>
      </c>
    </row>
    <row r="30" customFormat="false" ht="33.75" hidden="false" customHeight="true" outlineLevel="0" collapsed="false">
      <c r="C30" s="26" t="s">
        <v>27</v>
      </c>
      <c r="D30" s="8" t="s">
        <v>26</v>
      </c>
      <c r="E30" s="50" t="n">
        <f aca="false">VLOOKUP(C30,Personnel!$E$9:$Y$16,21,FALSE())/12</f>
        <v>18000</v>
      </c>
      <c r="F30" s="51" t="n">
        <f aca="false">$D$15</f>
        <v>1.5</v>
      </c>
      <c r="G30" s="52" t="n">
        <f aca="false">E30*F30</f>
        <v>27000</v>
      </c>
      <c r="H30" s="27" t="str">
        <f aca="false">VLOOKUP(C30,Personnel!$E$9:$I$16,5,FALSE())</f>
        <v>Local — Venezuela</v>
      </c>
      <c r="I30" s="8" t="s">
        <v>219</v>
      </c>
      <c r="J30" s="43" t="s">
        <v>220</v>
      </c>
    </row>
    <row r="31" customFormat="false" ht="33.75" hidden="false" customHeight="true" outlineLevel="0" collapsed="false">
      <c r="C31" s="26" t="s">
        <v>34</v>
      </c>
      <c r="D31" s="8" t="s">
        <v>33</v>
      </c>
      <c r="E31" s="53" t="n">
        <f aca="false">VLOOKUP(C31,Personnel!$E$9:$Y$16,21,FALSE())/12</f>
        <v>15000</v>
      </c>
      <c r="F31" s="51" t="n">
        <f aca="false">$D$15</f>
        <v>1.5</v>
      </c>
      <c r="G31" s="54" t="n">
        <f aca="false">E31*F31</f>
        <v>22500</v>
      </c>
      <c r="H31" s="27" t="str">
        <f aca="false">VLOOKUP(C31,Personnel!$E$9:$I$16,5,FALSE())</f>
        <v>Local — Venezuela</v>
      </c>
      <c r="I31" s="8" t="s">
        <v>219</v>
      </c>
      <c r="J31" s="43" t="s">
        <v>220</v>
      </c>
    </row>
    <row r="32" customFormat="false" ht="33.75" hidden="false" customHeight="true" outlineLevel="0" collapsed="false">
      <c r="C32" s="26" t="s">
        <v>37</v>
      </c>
      <c r="D32" s="8" t="s">
        <v>36</v>
      </c>
      <c r="E32" s="53" t="n">
        <f aca="false">VLOOKUP(C32,Personnel!$E$9:$Y$16,21,FALSE())/12</f>
        <v>18000</v>
      </c>
      <c r="F32" s="51" t="n">
        <f aca="false">$D$15</f>
        <v>1.5</v>
      </c>
      <c r="G32" s="54" t="n">
        <f aca="false">E32*F32</f>
        <v>27000</v>
      </c>
      <c r="H32" s="27" t="str">
        <f aca="false">VLOOKUP(C32,Personnel!$E$9:$I$16,5,FALSE())</f>
        <v>Local — Venezuela</v>
      </c>
      <c r="I32" s="8" t="s">
        <v>219</v>
      </c>
      <c r="J32" s="43" t="s">
        <v>220</v>
      </c>
    </row>
    <row r="33" customFormat="false" ht="15" hidden="false" customHeight="false" outlineLevel="0" collapsed="false">
      <c r="C33" s="46" t="s">
        <v>221</v>
      </c>
      <c r="D33" s="48"/>
      <c r="E33" s="48"/>
      <c r="F33" s="48"/>
      <c r="G33" s="39" t="n">
        <f aca="false">SUM(G30:G32)</f>
        <v>76500</v>
      </c>
      <c r="H33" s="48"/>
      <c r="I33" s="48"/>
      <c r="J33" s="49"/>
    </row>
    <row r="36" customFormat="false" ht="15" hidden="false" customHeight="true" outlineLevel="0" collapsed="false">
      <c r="C36" s="38" t="s">
        <v>222</v>
      </c>
      <c r="D36" s="38"/>
      <c r="E36" s="38"/>
      <c r="F36" s="38"/>
      <c r="G36" s="38"/>
      <c r="H36" s="38"/>
      <c r="I36" s="38"/>
      <c r="J36" s="38"/>
    </row>
    <row r="37" customFormat="false" ht="15" hidden="false" customHeight="false" outlineLevel="0" collapsed="false">
      <c r="C37" s="38"/>
      <c r="D37" s="38"/>
      <c r="E37" s="38"/>
      <c r="F37" s="38"/>
      <c r="G37" s="38"/>
      <c r="H37" s="38"/>
      <c r="I37" s="38"/>
      <c r="J37" s="38"/>
    </row>
    <row r="38" customFormat="false" ht="15" hidden="false" customHeight="false" outlineLevel="0" collapsed="false">
      <c r="C38" s="38"/>
      <c r="D38" s="38"/>
      <c r="E38" s="38"/>
      <c r="F38" s="38"/>
      <c r="G38" s="38"/>
      <c r="H38" s="38"/>
      <c r="I38" s="38"/>
      <c r="J38" s="38"/>
    </row>
  </sheetData>
  <mergeCells count="7">
    <mergeCell ref="C3:J3"/>
    <mergeCell ref="C5:J5"/>
    <mergeCell ref="C6:J6"/>
    <mergeCell ref="C8:J8"/>
    <mergeCell ref="C18:H18"/>
    <mergeCell ref="C28:J28"/>
    <mergeCell ref="C36:J38"/>
  </mergeCell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&amp;C&amp;8 Repatriation Package | Page &amp;P of &amp;N</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3:S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2" min="1" style="0" width="20"/>
    <col collapsed="false" customWidth="true" hidden="false" outlineLevel="0" max="4" min="3" style="0" width="24"/>
    <col collapsed="false" customWidth="true" hidden="false" outlineLevel="0" max="5" min="5" style="0" width="38"/>
    <col collapsed="false" customWidth="true" hidden="false" outlineLevel="0" max="18" min="6" style="0" width="14"/>
    <col collapsed="false" customWidth="true" hidden="false" outlineLevel="0" max="19" min="19" style="0" width="12"/>
  </cols>
  <sheetData>
    <row r="3" customFormat="false" ht="24.75" hidden="false" customHeight="true" outlineLevel="0" collapsed="false">
      <c r="C3" s="1" t="s">
        <v>223</v>
      </c>
      <c r="D3" s="1"/>
      <c r="E3" s="1"/>
      <c r="F3" s="1"/>
      <c r="G3" s="1"/>
      <c r="H3" s="1"/>
      <c r="I3" s="1"/>
      <c r="J3" s="1"/>
      <c r="K3" s="1"/>
      <c r="L3" s="1"/>
      <c r="M3" s="1"/>
      <c r="N3" s="1"/>
      <c r="O3" s="1"/>
      <c r="P3" s="1"/>
      <c r="Q3" s="1"/>
      <c r="R3" s="1"/>
      <c r="S3" s="1"/>
    </row>
    <row r="5" customFormat="false" ht="15" hidden="false" customHeight="false" outlineLevel="0" collapsed="false">
      <c r="C5" s="2" t="s">
        <v>224</v>
      </c>
      <c r="D5" s="2"/>
      <c r="E5" s="2"/>
      <c r="F5" s="2"/>
      <c r="G5" s="2"/>
      <c r="H5" s="2"/>
      <c r="I5" s="2"/>
      <c r="J5" s="2"/>
      <c r="K5" s="2"/>
      <c r="L5" s="2"/>
      <c r="M5" s="2"/>
      <c r="N5" s="2"/>
      <c r="O5" s="2"/>
      <c r="P5" s="2"/>
      <c r="Q5" s="2"/>
      <c r="R5" s="2"/>
      <c r="S5" s="2"/>
    </row>
    <row r="6" customFormat="false" ht="15" hidden="false" customHeight="false" outlineLevel="0" collapsed="false">
      <c r="C6" s="3" t="s">
        <v>225</v>
      </c>
      <c r="D6" s="3"/>
      <c r="E6" s="3"/>
      <c r="F6" s="3"/>
      <c r="G6" s="3"/>
      <c r="H6" s="3"/>
      <c r="I6" s="3"/>
      <c r="J6" s="3"/>
      <c r="K6" s="3"/>
      <c r="L6" s="3"/>
      <c r="M6" s="3"/>
      <c r="N6" s="3"/>
      <c r="O6" s="3"/>
      <c r="P6" s="3"/>
      <c r="Q6" s="3"/>
      <c r="R6" s="3"/>
      <c r="S6" s="3"/>
    </row>
    <row r="7" customFormat="false" ht="15" hidden="false" customHeight="true" outlineLevel="0" collapsed="false">
      <c r="C7" s="38" t="s">
        <v>226</v>
      </c>
      <c r="D7" s="38"/>
      <c r="E7" s="38"/>
      <c r="F7" s="38"/>
      <c r="G7" s="38"/>
      <c r="H7" s="38"/>
      <c r="I7" s="38"/>
      <c r="J7" s="38"/>
      <c r="K7" s="38"/>
      <c r="L7" s="38"/>
      <c r="M7" s="38"/>
      <c r="N7" s="38"/>
      <c r="O7" s="38"/>
      <c r="P7" s="38"/>
      <c r="Q7" s="38"/>
      <c r="R7" s="38"/>
      <c r="S7" s="38"/>
    </row>
    <row r="8" customFormat="false" ht="15" hidden="false" customHeight="false" outlineLevel="0" collapsed="false">
      <c r="C8" s="38"/>
      <c r="D8" s="38"/>
      <c r="E8" s="38"/>
      <c r="F8" s="38"/>
      <c r="G8" s="38"/>
      <c r="H8" s="38"/>
      <c r="I8" s="38"/>
      <c r="J8" s="38"/>
      <c r="K8" s="38"/>
      <c r="L8" s="38"/>
      <c r="M8" s="38"/>
      <c r="N8" s="38"/>
      <c r="O8" s="38"/>
      <c r="P8" s="38"/>
      <c r="Q8" s="38"/>
      <c r="R8" s="38"/>
      <c r="S8" s="38"/>
    </row>
    <row r="9" customFormat="false" ht="15" hidden="false" customHeight="false" outlineLevel="0" collapsed="false">
      <c r="C9" s="38"/>
      <c r="D9" s="38"/>
      <c r="E9" s="38"/>
      <c r="F9" s="38"/>
      <c r="G9" s="38"/>
      <c r="H9" s="38"/>
      <c r="I9" s="38"/>
      <c r="J9" s="38"/>
      <c r="K9" s="38"/>
      <c r="L9" s="38"/>
      <c r="M9" s="38"/>
      <c r="N9" s="38"/>
      <c r="O9" s="38"/>
      <c r="P9" s="38"/>
      <c r="Q9" s="38"/>
      <c r="R9" s="38"/>
      <c r="S9" s="38"/>
    </row>
    <row r="11" customFormat="false" ht="33.75" hidden="false" customHeight="true" outlineLevel="0" collapsed="false">
      <c r="C11" s="4" t="s">
        <v>5</v>
      </c>
      <c r="D11" s="5" t="s">
        <v>227</v>
      </c>
      <c r="E11" s="5" t="s">
        <v>228</v>
      </c>
      <c r="F11" s="5" t="s">
        <v>13</v>
      </c>
      <c r="G11" s="5" t="s">
        <v>14</v>
      </c>
      <c r="H11" s="5" t="s">
        <v>15</v>
      </c>
      <c r="I11" s="5" t="s">
        <v>16</v>
      </c>
      <c r="J11" s="5" t="s">
        <v>17</v>
      </c>
      <c r="K11" s="5" t="s">
        <v>18</v>
      </c>
      <c r="L11" s="5" t="s">
        <v>19</v>
      </c>
      <c r="M11" s="5" t="s">
        <v>20</v>
      </c>
      <c r="N11" s="5" t="s">
        <v>21</v>
      </c>
      <c r="O11" s="5" t="s">
        <v>22</v>
      </c>
      <c r="P11" s="5" t="s">
        <v>23</v>
      </c>
      <c r="Q11" s="5" t="s">
        <v>24</v>
      </c>
      <c r="R11" s="6" t="s">
        <v>229</v>
      </c>
    </row>
    <row r="12" customFormat="false" ht="42" hidden="false" customHeight="true" outlineLevel="0" collapsed="false">
      <c r="C12" s="26" t="s">
        <v>34</v>
      </c>
      <c r="D12" s="8" t="s">
        <v>230</v>
      </c>
      <c r="E12" s="8" t="s">
        <v>231</v>
      </c>
      <c r="F12" s="53" t="n">
        <f aca="false">VLOOKUP($C12,'Monthly Costs'!$C$9:$X$16,8,FALSE())</f>
        <v>16000</v>
      </c>
      <c r="G12" s="53" t="n">
        <f aca="false">VLOOKUP($C12,'Monthly Costs'!$C$9:$X$16,9,FALSE())</f>
        <v>16000</v>
      </c>
      <c r="H12" s="53" t="n">
        <f aca="false">VLOOKUP($C12,'Monthly Costs'!$C$9:$X$16,10,FALSE())</f>
        <v>16000</v>
      </c>
      <c r="I12" s="53" t="n">
        <f aca="false">VLOOKUP($C12,'Monthly Costs'!$C$9:$X$16,11,FALSE())</f>
        <v>16000</v>
      </c>
      <c r="J12" s="53" t="n">
        <f aca="false">VLOOKUP($C12,'Monthly Costs'!$C$9:$X$16,12,FALSE())</f>
        <v>16000</v>
      </c>
      <c r="K12" s="53" t="n">
        <f aca="false">VLOOKUP($C12,'Monthly Costs'!$C$9:$X$16,13,FALSE())</f>
        <v>16000</v>
      </c>
      <c r="L12" s="53" t="n">
        <f aca="false">VLOOKUP($C12,'Monthly Costs'!$C$9:$X$16,16,FALSE())</f>
        <v>38500</v>
      </c>
      <c r="M12" s="53" t="n">
        <f aca="false">VLOOKUP($C12,'Monthly Costs'!$C$9:$X$16,17,FALSE())</f>
        <v>16000</v>
      </c>
      <c r="N12" s="53" t="n">
        <f aca="false">VLOOKUP($C12,'Monthly Costs'!$C$9:$X$16,18,FALSE())</f>
        <v>16000</v>
      </c>
      <c r="O12" s="53" t="n">
        <f aca="false">VLOOKUP($C12,'Monthly Costs'!$C$9:$X$16,19,FALSE())</f>
        <v>16000</v>
      </c>
      <c r="P12" s="53" t="n">
        <f aca="false">VLOOKUP($C12,'Monthly Costs'!$C$9:$X$16,20,FALSE())</f>
        <v>16000</v>
      </c>
      <c r="Q12" s="53" t="n">
        <f aca="false">VLOOKUP($C12,'Monthly Costs'!$C$9:$X$16,21,FALSE())</f>
        <v>16000</v>
      </c>
      <c r="R12" s="55" t="n">
        <f aca="false">SUM(F12:Q12)</f>
        <v>214500</v>
      </c>
    </row>
    <row r="13" customFormat="false" ht="42" hidden="false" customHeight="true" outlineLevel="0" collapsed="false">
      <c r="C13" s="26" t="s">
        <v>39</v>
      </c>
      <c r="D13" s="8" t="s">
        <v>232</v>
      </c>
      <c r="E13" s="8" t="s">
        <v>233</v>
      </c>
      <c r="F13" s="53" t="n">
        <f aca="false">VLOOKUP($C13,'Monthly Costs'!$C$9:$X$16,8,FALSE())</f>
        <v>16000</v>
      </c>
      <c r="G13" s="53" t="n">
        <f aca="false">VLOOKUP($C13,'Monthly Costs'!$C$9:$X$16,9,FALSE())</f>
        <v>16000</v>
      </c>
      <c r="H13" s="53" t="n">
        <f aca="false">VLOOKUP($C13,'Monthly Costs'!$C$9:$X$16,10,FALSE())</f>
        <v>16000</v>
      </c>
      <c r="I13" s="53" t="n">
        <f aca="false">VLOOKUP($C13,'Monthly Costs'!$C$9:$X$16,11,FALSE())</f>
        <v>16000</v>
      </c>
      <c r="J13" s="53" t="n">
        <f aca="false">VLOOKUP($C13,'Monthly Costs'!$C$9:$X$16,12,FALSE())</f>
        <v>16000</v>
      </c>
      <c r="K13" s="53" t="n">
        <f aca="false">VLOOKUP($C13,'Monthly Costs'!$C$9:$X$16,13,FALSE())</f>
        <v>16000</v>
      </c>
      <c r="L13" s="53" t="n">
        <f aca="false">VLOOKUP($C13,'Monthly Costs'!$C$9:$X$16,16,FALSE())</f>
        <v>18000</v>
      </c>
      <c r="M13" s="53" t="n">
        <f aca="false">VLOOKUP($C13,'Monthly Costs'!$C$9:$X$16,17,FALSE())</f>
        <v>18000</v>
      </c>
      <c r="N13" s="53" t="n">
        <f aca="false">VLOOKUP($C13,'Monthly Costs'!$C$9:$X$16,18,FALSE())</f>
        <v>24000</v>
      </c>
      <c r="O13" s="53" t="n">
        <f aca="false">VLOOKUP($C13,'Monthly Costs'!$C$9:$X$16,19,FALSE())</f>
        <v>18000</v>
      </c>
      <c r="P13" s="53" t="n">
        <f aca="false">VLOOKUP($C13,'Monthly Costs'!$C$9:$X$16,20,FALSE())</f>
        <v>18000</v>
      </c>
      <c r="Q13" s="53" t="n">
        <f aca="false">VLOOKUP($C13,'Monthly Costs'!$C$9:$X$16,21,FALSE())</f>
        <v>24000</v>
      </c>
      <c r="R13" s="56" t="n">
        <f aca="false">SUM(F13:Q13)</f>
        <v>216000</v>
      </c>
    </row>
    <row r="14" customFormat="false" ht="42" hidden="false" customHeight="true" outlineLevel="0" collapsed="false">
      <c r="C14" s="26" t="s">
        <v>234</v>
      </c>
      <c r="D14" s="8" t="s">
        <v>235</v>
      </c>
      <c r="E14" s="8" t="s">
        <v>236</v>
      </c>
      <c r="F14" s="42" t="n">
        <v>15000</v>
      </c>
      <c r="G14" s="42" t="n">
        <v>15000</v>
      </c>
      <c r="H14" s="42" t="n">
        <v>15000</v>
      </c>
      <c r="I14" s="42" t="n">
        <v>15000</v>
      </c>
      <c r="J14" s="42" t="n">
        <v>15000</v>
      </c>
      <c r="K14" s="42" t="n">
        <v>15000</v>
      </c>
      <c r="L14" s="42" t="n">
        <v>15000</v>
      </c>
      <c r="M14" s="42" t="n">
        <v>15000</v>
      </c>
      <c r="N14" s="42" t="n">
        <v>15000</v>
      </c>
      <c r="O14" s="42" t="n">
        <v>15000</v>
      </c>
      <c r="P14" s="42" t="n">
        <v>15000</v>
      </c>
      <c r="Q14" s="42" t="n">
        <v>15000</v>
      </c>
      <c r="R14" s="56" t="n">
        <f aca="false">SUM(F14:Q14)</f>
        <v>180000</v>
      </c>
    </row>
    <row r="15" customFormat="false" ht="15" hidden="false" customHeight="false" outlineLevel="0" collapsed="false">
      <c r="C15" s="46" t="s">
        <v>237</v>
      </c>
      <c r="D15" s="46"/>
      <c r="E15" s="46"/>
      <c r="F15" s="14" t="n">
        <f aca="false">SUM(F12:F14)</f>
        <v>47000</v>
      </c>
      <c r="G15" s="15" t="n">
        <f aca="false">SUM(G12:G14)</f>
        <v>47000</v>
      </c>
      <c r="H15" s="15" t="n">
        <f aca="false">SUM(H12:H14)</f>
        <v>47000</v>
      </c>
      <c r="I15" s="15" t="n">
        <f aca="false">SUM(I12:I14)</f>
        <v>47000</v>
      </c>
      <c r="J15" s="15" t="n">
        <f aca="false">SUM(J12:J14)</f>
        <v>47000</v>
      </c>
      <c r="K15" s="15" t="n">
        <f aca="false">SUM(K12:K14)</f>
        <v>47000</v>
      </c>
      <c r="L15" s="15" t="n">
        <f aca="false">SUM(L12:L14)</f>
        <v>71500</v>
      </c>
      <c r="M15" s="15" t="n">
        <f aca="false">SUM(M12:M14)</f>
        <v>49000</v>
      </c>
      <c r="N15" s="15" t="n">
        <f aca="false">SUM(N12:N14)</f>
        <v>55000</v>
      </c>
      <c r="O15" s="15" t="n">
        <f aca="false">SUM(O12:O14)</f>
        <v>49000</v>
      </c>
      <c r="P15" s="15" t="n">
        <f aca="false">SUM(P12:P14)</f>
        <v>49000</v>
      </c>
      <c r="Q15" s="15" t="n">
        <f aca="false">SUM(Q12:Q14)</f>
        <v>55000</v>
      </c>
      <c r="R15" s="57" t="n">
        <f aca="false">SUM(R12:R14)</f>
        <v>610500</v>
      </c>
    </row>
    <row r="18" customFormat="false" ht="15" hidden="false" customHeight="false" outlineLevel="0" collapsed="false">
      <c r="C18" s="21" t="s">
        <v>238</v>
      </c>
      <c r="D18" s="21"/>
      <c r="E18" s="21"/>
      <c r="F18" s="21"/>
      <c r="G18" s="21"/>
      <c r="H18" s="21"/>
      <c r="I18" s="21"/>
      <c r="J18" s="21"/>
      <c r="K18" s="21"/>
      <c r="L18" s="21"/>
      <c r="M18" s="21"/>
      <c r="N18" s="21"/>
      <c r="O18" s="21"/>
      <c r="P18" s="21"/>
      <c r="Q18" s="21"/>
      <c r="R18" s="21"/>
      <c r="S18" s="21"/>
    </row>
    <row r="19" customFormat="false" ht="33.75" hidden="false" customHeight="true" outlineLevel="0" collapsed="false">
      <c r="C19" s="4" t="s">
        <v>61</v>
      </c>
      <c r="D19" s="5" t="s">
        <v>13</v>
      </c>
      <c r="E19" s="5" t="s">
        <v>14</v>
      </c>
      <c r="F19" s="5" t="s">
        <v>15</v>
      </c>
      <c r="G19" s="5" t="s">
        <v>16</v>
      </c>
      <c r="H19" s="5" t="s">
        <v>17</v>
      </c>
      <c r="I19" s="5" t="s">
        <v>18</v>
      </c>
      <c r="J19" s="5" t="s">
        <v>19</v>
      </c>
      <c r="K19" s="5" t="s">
        <v>20</v>
      </c>
      <c r="L19" s="5" t="s">
        <v>21</v>
      </c>
      <c r="M19" s="5" t="s">
        <v>22</v>
      </c>
      <c r="N19" s="5" t="s">
        <v>23</v>
      </c>
      <c r="O19" s="5" t="s">
        <v>24</v>
      </c>
      <c r="P19" s="6" t="s">
        <v>239</v>
      </c>
    </row>
    <row r="20" customFormat="false" ht="15" hidden="false" customHeight="false" outlineLevel="0" collapsed="false">
      <c r="C20" s="22" t="s">
        <v>240</v>
      </c>
      <c r="D20" s="28" t="n">
        <f aca="false">'Monthly Costs'!J17</f>
        <v>106333.333333333</v>
      </c>
      <c r="E20" s="32" t="n">
        <f aca="false">'Monthly Costs'!K17</f>
        <v>106333.333333333</v>
      </c>
      <c r="F20" s="32" t="n">
        <f aca="false">'Monthly Costs'!L17</f>
        <v>106333.333333333</v>
      </c>
      <c r="G20" s="32" t="n">
        <f aca="false">'Monthly Costs'!M17</f>
        <v>106333.333333333</v>
      </c>
      <c r="H20" s="32" t="n">
        <f aca="false">'Monthly Costs'!N17</f>
        <v>106333.333333333</v>
      </c>
      <c r="I20" s="32" t="n">
        <f aca="false">'Monthly Costs'!O17</f>
        <v>106333.333333333</v>
      </c>
      <c r="J20" s="32" t="n">
        <f aca="false">'Monthly Costs'!R17</f>
        <v>184833.333333333</v>
      </c>
      <c r="K20" s="32" t="n">
        <f aca="false">'Monthly Costs'!S17</f>
        <v>108333.333333333</v>
      </c>
      <c r="L20" s="32" t="n">
        <f aca="false">'Monthly Costs'!T17</f>
        <v>114333.333333333</v>
      </c>
      <c r="M20" s="32" t="n">
        <f aca="false">'Monthly Costs'!U17</f>
        <v>108333.333333333</v>
      </c>
      <c r="N20" s="32" t="n">
        <f aca="false">'Monthly Costs'!V17</f>
        <v>108333.333333333</v>
      </c>
      <c r="O20" s="32" t="n">
        <f aca="false">'Monthly Costs'!W17</f>
        <v>114333.333333333</v>
      </c>
      <c r="P20" s="58" t="n">
        <f aca="false">'Monthly Costs'!X17</f>
        <v>1376500</v>
      </c>
    </row>
    <row r="21" customFormat="false" ht="15" hidden="false" customHeight="false" outlineLevel="0" collapsed="false">
      <c r="C21" s="22" t="s">
        <v>241</v>
      </c>
      <c r="D21" s="32" t="n">
        <f aca="false">F15</f>
        <v>47000</v>
      </c>
      <c r="E21" s="32" t="n">
        <f aca="false">G15</f>
        <v>47000</v>
      </c>
      <c r="F21" s="32" t="n">
        <f aca="false">H15</f>
        <v>47000</v>
      </c>
      <c r="G21" s="32" t="n">
        <f aca="false">I15</f>
        <v>47000</v>
      </c>
      <c r="H21" s="32" t="n">
        <f aca="false">J15</f>
        <v>47000</v>
      </c>
      <c r="I21" s="32" t="n">
        <f aca="false">K15</f>
        <v>47000</v>
      </c>
      <c r="J21" s="32" t="n">
        <f aca="false">L15</f>
        <v>71500</v>
      </c>
      <c r="K21" s="32" t="n">
        <f aca="false">M15</f>
        <v>49000</v>
      </c>
      <c r="L21" s="32" t="n">
        <f aca="false">N15</f>
        <v>55000</v>
      </c>
      <c r="M21" s="32" t="n">
        <f aca="false">O15</f>
        <v>49000</v>
      </c>
      <c r="N21" s="32" t="n">
        <f aca="false">P15</f>
        <v>49000</v>
      </c>
      <c r="O21" s="32" t="n">
        <f aca="false">Q15</f>
        <v>55000</v>
      </c>
      <c r="P21" s="59" t="n">
        <f aca="false">R15</f>
        <v>610500</v>
      </c>
    </row>
    <row r="22" customFormat="false" ht="15" hidden="false" customHeight="false" outlineLevel="0" collapsed="false">
      <c r="C22" s="18" t="s">
        <v>242</v>
      </c>
      <c r="D22" s="60" t="n">
        <f aca="false">D20-D21</f>
        <v>59333.3333333333</v>
      </c>
      <c r="E22" s="60" t="n">
        <f aca="false">E20-E21</f>
        <v>59333.3333333333</v>
      </c>
      <c r="F22" s="60" t="n">
        <f aca="false">F20-F21</f>
        <v>59333.3333333333</v>
      </c>
      <c r="G22" s="60" t="n">
        <f aca="false">G20-G21</f>
        <v>59333.3333333333</v>
      </c>
      <c r="H22" s="60" t="n">
        <f aca="false">H20-H21</f>
        <v>59333.3333333333</v>
      </c>
      <c r="I22" s="60" t="n">
        <f aca="false">I20-I21</f>
        <v>59333.3333333333</v>
      </c>
      <c r="J22" s="60" t="n">
        <f aca="false">J20-J21</f>
        <v>113333.333333333</v>
      </c>
      <c r="K22" s="60" t="n">
        <f aca="false">K20-K21</f>
        <v>59333.3333333333</v>
      </c>
      <c r="L22" s="60" t="n">
        <f aca="false">L20-L21</f>
        <v>59333.3333333333</v>
      </c>
      <c r="M22" s="60" t="n">
        <f aca="false">M20-M21</f>
        <v>59333.3333333333</v>
      </c>
      <c r="N22" s="60" t="n">
        <f aca="false">N20-N21</f>
        <v>59333.3333333333</v>
      </c>
      <c r="O22" s="60" t="n">
        <f aca="false">O20-O21</f>
        <v>59333.3333333333</v>
      </c>
      <c r="P22" s="61" t="n">
        <f aca="false">P20-P21</f>
        <v>766000</v>
      </c>
    </row>
    <row r="25" customFormat="false" ht="15" hidden="false" customHeight="true" outlineLevel="0" collapsed="false">
      <c r="C25" s="38" t="s">
        <v>243</v>
      </c>
      <c r="D25" s="38"/>
      <c r="E25" s="38"/>
      <c r="F25" s="38"/>
      <c r="G25" s="38"/>
      <c r="H25" s="38"/>
      <c r="I25" s="38"/>
      <c r="J25" s="38"/>
      <c r="K25" s="38"/>
      <c r="L25" s="38"/>
      <c r="M25" s="38"/>
      <c r="N25" s="38"/>
      <c r="O25" s="38"/>
      <c r="P25" s="38"/>
      <c r="Q25" s="38"/>
      <c r="R25" s="38"/>
      <c r="S25" s="38"/>
    </row>
    <row r="26" customFormat="false" ht="15" hidden="false" customHeight="false" outlineLevel="0" collapsed="false">
      <c r="C26" s="38"/>
      <c r="D26" s="38"/>
      <c r="E26" s="38"/>
      <c r="F26" s="38"/>
      <c r="G26" s="38"/>
      <c r="H26" s="38"/>
      <c r="I26" s="38"/>
      <c r="J26" s="38"/>
      <c r="K26" s="38"/>
      <c r="L26" s="38"/>
      <c r="M26" s="38"/>
      <c r="N26" s="38"/>
      <c r="O26" s="38"/>
      <c r="P26" s="38"/>
      <c r="Q26" s="38"/>
      <c r="R26" s="38"/>
      <c r="S26" s="38"/>
    </row>
    <row r="27" customFormat="false" ht="15" hidden="false" customHeight="false" outlineLevel="0" collapsed="false">
      <c r="C27" s="38"/>
      <c r="D27" s="38"/>
      <c r="E27" s="38"/>
      <c r="F27" s="38"/>
      <c r="G27" s="38"/>
      <c r="H27" s="38"/>
      <c r="I27" s="38"/>
      <c r="J27" s="38"/>
      <c r="K27" s="38"/>
      <c r="L27" s="38"/>
      <c r="M27" s="38"/>
      <c r="N27" s="38"/>
      <c r="O27" s="38"/>
      <c r="P27" s="38"/>
      <c r="Q27" s="38"/>
      <c r="R27" s="38"/>
      <c r="S27" s="38"/>
    </row>
  </sheetData>
  <mergeCells count="7">
    <mergeCell ref="C3:S3"/>
    <mergeCell ref="C5:S5"/>
    <mergeCell ref="C6:S6"/>
    <mergeCell ref="C7:S9"/>
    <mergeCell ref="C15:E15"/>
    <mergeCell ref="C18:S18"/>
    <mergeCell ref="C25:S27"/>
  </mergeCell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&amp;C&amp;8 PU Secondments | Page &amp;P of &amp;N</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3:M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2" min="1" style="0" width="20"/>
    <col collapsed="false" customWidth="true" hidden="false" outlineLevel="0" max="11" min="3" style="0" width="29"/>
    <col collapsed="false" customWidth="true" hidden="false" outlineLevel="0" max="12" min="12" style="0" width="31"/>
    <col collapsed="false" customWidth="true" hidden="false" outlineLevel="0" max="13" min="13" style="0" width="14"/>
  </cols>
  <sheetData>
    <row r="3" customFormat="false" ht="24.75" hidden="false" customHeight="true" outlineLevel="0" collapsed="false">
      <c r="C3" s="1" t="s">
        <v>244</v>
      </c>
      <c r="D3" s="1"/>
      <c r="E3" s="1"/>
      <c r="F3" s="1"/>
      <c r="G3" s="1"/>
      <c r="H3" s="1"/>
      <c r="I3" s="1"/>
      <c r="J3" s="1"/>
      <c r="K3" s="1"/>
      <c r="L3" s="1"/>
      <c r="M3" s="1"/>
    </row>
    <row r="5" customFormat="false" ht="15" hidden="false" customHeight="false" outlineLevel="0" collapsed="false">
      <c r="C5" s="2" t="s">
        <v>245</v>
      </c>
      <c r="D5" s="2"/>
      <c r="E5" s="2"/>
      <c r="F5" s="2"/>
      <c r="G5" s="2"/>
      <c r="H5" s="2"/>
      <c r="I5" s="2"/>
      <c r="J5" s="2"/>
      <c r="K5" s="2"/>
      <c r="L5" s="2"/>
      <c r="M5" s="2"/>
    </row>
    <row r="6" customFormat="false" ht="15" hidden="false" customHeight="false" outlineLevel="0" collapsed="false">
      <c r="C6" s="3" t="s">
        <v>246</v>
      </c>
      <c r="D6" s="3"/>
      <c r="E6" s="3"/>
      <c r="F6" s="3"/>
      <c r="G6" s="3"/>
      <c r="H6" s="3"/>
      <c r="I6" s="3"/>
      <c r="J6" s="3"/>
      <c r="K6" s="3"/>
      <c r="L6" s="3"/>
      <c r="M6" s="3"/>
    </row>
    <row r="8" customFormat="false" ht="33.75" hidden="false" customHeight="true" outlineLevel="0" collapsed="false">
      <c r="C8" s="4" t="s">
        <v>6</v>
      </c>
      <c r="D8" s="5" t="s">
        <v>247</v>
      </c>
      <c r="E8" s="5" t="s">
        <v>9</v>
      </c>
      <c r="F8" s="5" t="s">
        <v>248</v>
      </c>
      <c r="G8" s="5" t="s">
        <v>249</v>
      </c>
      <c r="H8" s="5" t="s">
        <v>250</v>
      </c>
      <c r="I8" s="5" t="s">
        <v>251</v>
      </c>
      <c r="J8" s="5" t="s">
        <v>10</v>
      </c>
      <c r="K8" s="5" t="s">
        <v>252</v>
      </c>
      <c r="L8" s="5" t="s">
        <v>253</v>
      </c>
      <c r="M8" s="6" t="s">
        <v>254</v>
      </c>
    </row>
    <row r="9" customFormat="false" ht="75" hidden="false" customHeight="true" outlineLevel="0" collapsed="false">
      <c r="C9" s="26" t="s">
        <v>40</v>
      </c>
      <c r="D9" s="8" t="s">
        <v>255</v>
      </c>
      <c r="E9" s="8" t="s">
        <v>256</v>
      </c>
      <c r="F9" s="8" t="s">
        <v>257</v>
      </c>
      <c r="G9" s="8" t="s">
        <v>258</v>
      </c>
      <c r="H9" s="8" t="s">
        <v>259</v>
      </c>
      <c r="I9" s="8" t="s">
        <v>260</v>
      </c>
      <c r="J9" s="8" t="s">
        <v>41</v>
      </c>
      <c r="K9" s="8" t="s">
        <v>261</v>
      </c>
      <c r="L9" s="8" t="s">
        <v>262</v>
      </c>
      <c r="M9" s="62" t="n">
        <f aca="false">COUNTIF(Personnel!F9:F16,C9)</f>
        <v>2</v>
      </c>
    </row>
    <row r="10" customFormat="false" ht="75" hidden="false" customHeight="true" outlineLevel="0" collapsed="false">
      <c r="C10" s="26" t="s">
        <v>28</v>
      </c>
      <c r="D10" s="8" t="s">
        <v>255</v>
      </c>
      <c r="E10" s="8" t="s">
        <v>263</v>
      </c>
      <c r="F10" s="8" t="s">
        <v>257</v>
      </c>
      <c r="G10" s="8" t="s">
        <v>264</v>
      </c>
      <c r="H10" s="8" t="s">
        <v>265</v>
      </c>
      <c r="I10" s="8" t="s">
        <v>266</v>
      </c>
      <c r="J10" s="8" t="s">
        <v>267</v>
      </c>
      <c r="K10" s="8" t="s">
        <v>268</v>
      </c>
      <c r="L10" s="8" t="s">
        <v>269</v>
      </c>
      <c r="M10" s="62" t="n">
        <f aca="false">COUNTIF(Personnel!F9:F16,C10)</f>
        <v>3</v>
      </c>
    </row>
    <row r="11" customFormat="false" ht="75" hidden="false" customHeight="true" outlineLevel="0" collapsed="false">
      <c r="C11" s="26" t="s">
        <v>45</v>
      </c>
      <c r="D11" s="8" t="s">
        <v>255</v>
      </c>
      <c r="E11" s="8" t="s">
        <v>270</v>
      </c>
      <c r="F11" s="8" t="s">
        <v>257</v>
      </c>
      <c r="G11" s="8" t="s">
        <v>264</v>
      </c>
      <c r="H11" s="8" t="s">
        <v>265</v>
      </c>
      <c r="I11" s="8" t="s">
        <v>266</v>
      </c>
      <c r="J11" s="8" t="s">
        <v>41</v>
      </c>
      <c r="K11" s="8" t="s">
        <v>261</v>
      </c>
      <c r="L11" s="8" t="s">
        <v>271</v>
      </c>
      <c r="M11" s="62" t="n">
        <f aca="false">COUNTIF(Personnel!F9:F16,C11)</f>
        <v>2</v>
      </c>
    </row>
    <row r="12" customFormat="false" ht="75" hidden="false" customHeight="true" outlineLevel="0" collapsed="false">
      <c r="C12" s="26" t="s">
        <v>57</v>
      </c>
      <c r="D12" s="8" t="s">
        <v>272</v>
      </c>
      <c r="E12" s="8" t="s">
        <v>273</v>
      </c>
      <c r="F12" s="8" t="s">
        <v>273</v>
      </c>
      <c r="G12" s="8" t="s">
        <v>273</v>
      </c>
      <c r="H12" s="8" t="s">
        <v>273</v>
      </c>
      <c r="I12" s="8" t="s">
        <v>273</v>
      </c>
      <c r="J12" s="8" t="s">
        <v>41</v>
      </c>
      <c r="K12" s="8" t="s">
        <v>274</v>
      </c>
      <c r="L12" s="8" t="s">
        <v>275</v>
      </c>
      <c r="M12" s="62" t="n">
        <f aca="false">COUNTIF(Personnel!F9:F16,C12)</f>
        <v>1</v>
      </c>
    </row>
    <row r="14" customFormat="false" ht="15" hidden="false" customHeight="false" outlineLevel="0" collapsed="false">
      <c r="C14" s="21" t="s">
        <v>276</v>
      </c>
      <c r="D14" s="21"/>
      <c r="E14" s="21"/>
      <c r="F14" s="21"/>
      <c r="G14" s="21"/>
      <c r="H14" s="21"/>
      <c r="I14" s="21"/>
      <c r="J14" s="21"/>
      <c r="K14" s="21"/>
      <c r="L14" s="21"/>
      <c r="M14" s="21"/>
    </row>
    <row r="15" customFormat="false" ht="33.75" hidden="false" customHeight="true" outlineLevel="0" collapsed="false">
      <c r="C15" s="4" t="s">
        <v>8</v>
      </c>
      <c r="D15" s="5" t="s">
        <v>277</v>
      </c>
      <c r="E15" s="5" t="s">
        <v>278</v>
      </c>
      <c r="F15" s="5" t="s">
        <v>279</v>
      </c>
      <c r="G15" s="5" t="s">
        <v>280</v>
      </c>
      <c r="H15" s="5" t="s">
        <v>12</v>
      </c>
      <c r="I15" s="6" t="s">
        <v>254</v>
      </c>
    </row>
    <row r="16" customFormat="false" ht="57.75" hidden="false" customHeight="true" outlineLevel="0" collapsed="false">
      <c r="C16" s="26" t="s">
        <v>29</v>
      </c>
      <c r="D16" s="8" t="s">
        <v>281</v>
      </c>
      <c r="E16" s="8" t="s">
        <v>255</v>
      </c>
      <c r="F16" s="8" t="s">
        <v>282</v>
      </c>
      <c r="G16" s="8" t="s">
        <v>283</v>
      </c>
      <c r="H16" s="8" t="s">
        <v>284</v>
      </c>
      <c r="I16" s="62" t="n">
        <f aca="false">COUNTIF(Personnel!H9:H16,C16)</f>
        <v>6</v>
      </c>
    </row>
    <row r="17" customFormat="false" ht="57.75" hidden="false" customHeight="true" outlineLevel="0" collapsed="false">
      <c r="C17" s="26" t="s">
        <v>50</v>
      </c>
      <c r="D17" s="8" t="s">
        <v>285</v>
      </c>
      <c r="E17" s="8" t="s">
        <v>255</v>
      </c>
      <c r="F17" s="8" t="s">
        <v>286</v>
      </c>
      <c r="G17" s="8" t="s">
        <v>287</v>
      </c>
      <c r="H17" s="8" t="s">
        <v>288</v>
      </c>
      <c r="I17" s="62" t="n">
        <f aca="false">COUNTIF(Personnel!H9:H16,C17)</f>
        <v>1</v>
      </c>
    </row>
    <row r="18" customFormat="false" ht="57.75" hidden="false" customHeight="true" outlineLevel="0" collapsed="false">
      <c r="C18" s="26" t="s">
        <v>57</v>
      </c>
      <c r="D18" s="8" t="s">
        <v>289</v>
      </c>
      <c r="E18" s="8" t="s">
        <v>273</v>
      </c>
      <c r="F18" s="8" t="s">
        <v>273</v>
      </c>
      <c r="G18" s="8" t="s">
        <v>273</v>
      </c>
      <c r="H18" s="8" t="s">
        <v>290</v>
      </c>
      <c r="I18" s="62" t="n">
        <f aca="false">COUNTIF(Personnel!H9:H16,C18)</f>
        <v>1</v>
      </c>
    </row>
    <row r="20" customFormat="false" ht="15" hidden="false" customHeight="true" outlineLevel="0" collapsed="false">
      <c r="C20" s="38" t="s">
        <v>291</v>
      </c>
      <c r="D20" s="38"/>
      <c r="E20" s="38"/>
      <c r="F20" s="38"/>
      <c r="G20" s="38"/>
      <c r="H20" s="38"/>
      <c r="I20" s="38"/>
      <c r="J20" s="38"/>
      <c r="K20" s="38"/>
      <c r="L20" s="38"/>
      <c r="M20" s="38"/>
    </row>
    <row r="21" customFormat="false" ht="15" hidden="false" customHeight="false" outlineLevel="0" collapsed="false">
      <c r="C21" s="38"/>
      <c r="D21" s="38"/>
      <c r="E21" s="38"/>
      <c r="F21" s="38"/>
      <c r="G21" s="38"/>
      <c r="H21" s="38"/>
      <c r="I21" s="38"/>
      <c r="J21" s="38"/>
      <c r="K21" s="38"/>
      <c r="L21" s="38"/>
      <c r="M21" s="38"/>
    </row>
    <row r="22" customFormat="false" ht="15" hidden="false" customHeight="false" outlineLevel="0" collapsed="false">
      <c r="C22" s="38"/>
      <c r="D22" s="38"/>
      <c r="E22" s="38"/>
      <c r="F22" s="38"/>
      <c r="G22" s="38"/>
      <c r="H22" s="38"/>
      <c r="I22" s="38"/>
      <c r="J22" s="38"/>
      <c r="K22" s="38"/>
      <c r="L22" s="38"/>
      <c r="M22" s="38"/>
    </row>
    <row r="23" customFormat="false" ht="15" hidden="false" customHeight="false" outlineLevel="0" collapsed="false">
      <c r="C23" s="38"/>
      <c r="D23" s="38"/>
      <c r="E23" s="38"/>
      <c r="F23" s="38"/>
      <c r="G23" s="38"/>
      <c r="H23" s="38"/>
      <c r="I23" s="38"/>
      <c r="J23" s="38"/>
      <c r="K23" s="38"/>
      <c r="L23" s="38"/>
      <c r="M23" s="38"/>
    </row>
  </sheetData>
  <mergeCells count="5">
    <mergeCell ref="C3:M3"/>
    <mergeCell ref="C5:M5"/>
    <mergeCell ref="C6:M6"/>
    <mergeCell ref="C14:M14"/>
    <mergeCell ref="C20:M23"/>
  </mergeCells>
  <printOptions headings="false" gridLines="false" gridLinesSet="true" horizontalCentered="false" verticalCentered="false"/>
  <pageMargins left="0.75" right="0.75" top="1" bottom="1" header="0.511811023622047" footer="0.5"/>
  <pageSetup paperSize="1" scale="100" fitToWidth="1" fitToHeight="0" pageOrder="downThenOver" orientation="landscape" blackAndWhite="false" draft="false" cellComments="none" horizontalDpi="300" verticalDpi="300" copies="1"/>
  <headerFooter differentFirst="false" differentOddEven="false">
    <oddHeader/>
    <oddFooter>&amp;C&amp;8 Contract Rules | Page &amp;P of &amp;N</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2026-09-07T20:36:44Z</dcterms:created>
  <dc:creator>openpyxl</dc:creator>
  <dc:description/>
  <dc:language>en-US</dc:language>
  <cp:lastModifiedBy/>
  <dcterms:modified xsi:type="dcterms:W3CDTF">2026-09-07T20:36:44Z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