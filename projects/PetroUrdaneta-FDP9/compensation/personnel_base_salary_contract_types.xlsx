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ersonnel" sheetId="1" state="visible" r:id="rId3"/>
    <sheet name="Contract Rules" sheetId="2" state="visible" r:id="rId4"/>
  </sheets>
  <definedNames>
    <definedName function="false" hidden="false" localSheetId="1" name="_xlnm.Print_Area" vbProcedure="false">'Contract Rules'!$B$2:$M$23</definedName>
    <definedName function="false" hidden="false" localSheetId="0" name="_xlnm.Print_Area" vbProcedure="false">Personnel!$B$2:$Y$29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0"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1"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2"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3"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4"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5"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6"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7"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7"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9"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0"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1"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4"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5"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6"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7"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9"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0"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1"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2"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3"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4"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5"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6"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7"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9"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0"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1"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2"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3"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4"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5"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6"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7"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9"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0"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1"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2"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3"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4"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5"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6"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7"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K9"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0"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1"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2"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3"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4"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5"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6"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7"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L9" authorId="0">
      <text>
        <r>
          <rPr>
            <sz val="10"/>
            <rFont val="Arial"/>
            <family val="2"/>
          </rPr>
          <t xml:space="preserve">Source: management instructions in this task through 7 September 2026. Expat classification carried forward from prior instructions.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0" authorId="0">
      <text>
        <r>
          <rPr>
            <sz val="10"/>
            <rFont val="Arial"/>
            <family val="2"/>
          </rPr>
          <t xml:space="preserve">Source: management instructions in this task through 7 September 2026. Repatriate; transitions to Local — Venezuela from M7 after the one-time transition bonus.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1" authorId="0">
      <text>
        <r>
          <rPr>
            <sz val="10"/>
            <rFont val="Arial"/>
            <family val="2"/>
          </rPr>
          <t xml:space="preserve">Source: management instructions in this task through 7 September 2026. Repatriate; initially appointed General Manager of PU on secondment; transitions to Local — Venezuela from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L12" authorId="0">
      <text>
        <r>
          <rPr>
            <sz val="10"/>
            <rFont val="Arial"/>
            <family val="2"/>
          </rPr>
          <t xml:space="preserve">Source: management instructions in this task through 7 September 2026. Repatriate; transitions to Local — Venezuela from M7 after the one-time transition bonus.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3" authorId="0">
      <text>
        <r>
          <rPr>
            <sz val="10"/>
            <rFont val="Arial"/>
            <family val="2"/>
          </rPr>
          <t xml:space="preserve">Source: management instructions in this task through 7 September 2026. Expat; initially appointed Technical Manager of PU on secondment.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4" authorId="0">
      <text>
        <r>
          <rPr>
            <sz val="10"/>
            <rFont val="Arial"/>
            <family val="2"/>
          </rPr>
          <t xml:space="preserve">Source: management instructions in this task through 7 September 2026. Remote role. Local / Fixed is an editable assumption pending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5" authorId="0">
      <text>
        <r>
          <rPr>
            <sz val="10"/>
            <rFont val="Arial"/>
            <family val="2"/>
          </rPr>
          <t xml:space="preserve">Source: management instructions in this task through 7 September 2026. Rotation confirmed from prior instructions; Expat contract is an editable assumption.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6" authorId="0">
      <text>
        <r>
          <rPr>
            <sz val="10"/>
            <rFont val="Arial"/>
            <family val="2"/>
          </rPr>
          <t xml:space="preserve">Source: management instructions in this task through 7 September 2026. Local in Maracaibo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7" authorId="0">
      <text>
        <r>
          <rPr>
            <sz val="10"/>
            <rFont val="Arial"/>
            <family val="2"/>
          </rPr>
          <t xml:space="preserve">Source: management instructions in this task through 7 September 2026. Local in Maracaibo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Y9"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0"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1"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2"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3"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4"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5"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6"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7"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management instructions in this task through 7 September 2026. Default contract rule: Expat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0" authorId="0">
      <text>
        <r>
          <rPr>
            <sz val="10"/>
            <rFont val="Arial"/>
            <family val="2"/>
          </rPr>
          <t xml:space="preserve">Source: management instructions in this task through 7 September 2026. Default contract rule: Repatriate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1" authorId="0">
      <text>
        <r>
          <rPr>
            <sz val="10"/>
            <rFont val="Arial"/>
            <family val="2"/>
          </rPr>
          <t xml:space="preserve">Source: management instructions in this task through 7 September 2026. Default contract rule: Local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6" authorId="0">
      <text>
        <r>
          <rPr>
            <sz val="10"/>
            <rFont val="Arial"/>
            <family val="2"/>
          </rPr>
          <t xml:space="preserve">Source: management instructions in this task through 7 September 2026. Default work-arrangement rule: Fixed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7" authorId="0">
      <text>
        <r>
          <rPr>
            <sz val="10"/>
            <rFont val="Arial"/>
            <family val="2"/>
          </rPr>
          <t xml:space="preserve">Source: management instructions in this task through 7 September 2026. Default work-arrangement rule: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2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Company policy transition does not replace a legal classification or payroll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65</xdr:rowOff>
              </xdr:to>
            </anchor>
          </commentPr>
        </mc:Choice>
        <mc:Fallback/>
      </mc:AlternateContent>
    </comment>
    <comment ref="D9"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management instructions in this task through 7 September 2026. Default work-arrangement rule: Continuous assignment to the role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7" authorId="0">
      <text>
        <r>
          <rPr>
            <sz val="10"/>
            <rFont val="Arial"/>
            <family val="2"/>
          </rPr>
          <t xml:space="preserve">Source: management instructions in this task through 7 September 2026. Default work-arrangement rule: Roster-based presence in Venezuela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E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6"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7"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9" authorId="0">
      <text>
        <r>
          <rPr>
            <sz val="10"/>
            <rFont val="Arial"/>
            <family val="2"/>
          </rPr>
          <t xml:space="preserve">Source: management instructions in this task through 7 September 2026. Default contract rule: Company-provided medical insurance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F10" authorId="0">
      <text>
        <r>
          <rPr>
            <sz val="10"/>
            <rFont val="Arial"/>
            <family val="2"/>
          </rPr>
          <t xml:space="preserve">Source: management instructions in this task through 7 September 2026. Default contract rule: Medical insurance according to approved local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1" authorId="0">
      <text>
        <r>
          <rPr>
            <sz val="10"/>
            <rFont val="Arial"/>
            <family val="2"/>
          </rPr>
          <t xml:space="preserve">Source: management instructions in this task through 7 September 2026. Default contract rule: Medical insurance according to approved local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6" authorId="0">
      <text>
        <r>
          <rPr>
            <sz val="10"/>
            <rFont val="Arial"/>
            <family val="2"/>
          </rPr>
          <t xml:space="preserve">Source: management instructions in this task through 7 September 2026. Default work-arrangement rule: Based on contract type, city and approved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7" authorId="0">
      <text>
        <r>
          <rPr>
            <sz val="10"/>
            <rFont val="Arial"/>
            <family val="2"/>
          </rPr>
          <t xml:space="preserve">Source: management instructions in this task through 7 September 2026. Default work-arrangement rule: Hotel, staff house or rotational lodging; avoid duplicate permanent housing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9" authorId="0">
      <text>
        <r>
          <rPr>
            <sz val="10"/>
            <rFont val="Arial"/>
            <family val="2"/>
          </rPr>
          <t xml:space="preserve">Source: management instructions in this task through 7 September 2026. Default contract rule: Housing / allowance only under an approved individual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0" authorId="0">
      <text>
        <r>
          <rPr>
            <sz val="10"/>
            <rFont val="Arial"/>
            <family val="2"/>
          </rPr>
          <t xml:space="preserve">Source: management instructions in this task through 7 September 2026. Default contract rule: City-based: local residence, staff house, hotel or allowance only if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1" authorId="0">
      <text>
        <r>
          <rPr>
            <sz val="10"/>
            <rFont val="Arial"/>
            <family val="2"/>
          </rPr>
          <t xml:space="preserve">Source: management instructions in this task through 7 September 2026. Default contract rule: Local residence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6" authorId="0">
      <text>
        <r>
          <rPr>
            <sz val="10"/>
            <rFont val="Arial"/>
            <family val="2"/>
          </rPr>
          <t xml:space="preserve">Source: management instructions in this task through 7 September 2026. Default work-arrangement rule: According to contract type / local policy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7" authorId="0">
      <text>
        <r>
          <rPr>
            <sz val="10"/>
            <rFont val="Arial"/>
            <family val="2"/>
          </rPr>
          <t xml:space="preserve">Source: management instructions in this task through 7 September 2026. Default work-arrangement rule: Rotation roster travel replaces or supplements home leave only if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6" authorId="0">
      <text>
        <r>
          <rPr>
            <sz val="10"/>
            <rFont val="Arial"/>
            <family val="2"/>
          </rPr>
          <t xml:space="preserve">Source: management instructions in this task through 7 September 2026. Default work-arrangement rule: JJI is Fixed but Remote; Remote is noted separately.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7" authorId="0">
      <text>
        <r>
          <rPr>
            <sz val="10"/>
            <rFont val="Arial"/>
            <family val="2"/>
          </rPr>
          <t xml:space="preserve">Source: management instructions in this task through 7 September 2026. Default work-arrangement rule: Marcelo Dantas is currently shown as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I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K9"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K10" authorId="0">
      <text>
        <r>
          <rPr>
            <sz val="10"/>
            <rFont val="Arial"/>
            <family val="2"/>
          </rPr>
          <t xml:space="preserve">Source: management instructions in this task through 7 September 2026. Default contract rule: Confirmed policy direction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K11"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L9" authorId="0">
      <text>
        <r>
          <rPr>
            <sz val="10"/>
            <rFont val="Arial"/>
            <family val="2"/>
          </rPr>
          <t xml:space="preserve">Source: management instructions in this task through 7 September 2026. Default contract rule: No universal oil-and-gas benefit grid; package must reflect role, location and contract.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L10" authorId="0">
      <text>
        <r>
          <rPr>
            <sz val="10"/>
            <rFont val="Arial"/>
            <family val="2"/>
          </rPr>
          <t xml:space="preserve">Source: management instructions in this task through 7 September 2026. Default contract rule: One-time bonus is a transition/localisation support—not an annual incentive. Legal review determines salary and tax treatment.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L11" authorId="0">
      <text>
        <r>
          <rPr>
            <sz val="10"/>
            <rFont val="Arial"/>
            <family val="2"/>
          </rPr>
          <t xml:space="preserve">Source: management instructions in this task through 7 September 2026. Default contract rule: No international home leave or expat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List>
</comments>
</file>

<file path=xl/sharedStrings.xml><?xml version="1.0" encoding="utf-8"?>
<sst xmlns="http://schemas.openxmlformats.org/spreadsheetml/2006/main" count="173" uniqueCount="119">
  <si>
    <t xml:space="preserve">Personnel — Monthly Base Salary and Contract Classification</t>
  </si>
  <si>
    <t xml:space="preserve">Repatriates transition to Local — Venezuela from M7 after a one-time transition bonus | Fixed and Rotation shown separately</t>
  </si>
  <si>
    <t xml:space="preserve">USD | M1–M12 = annual base salary / 12 | One-time transition bonus is not included in monthly base salary</t>
  </si>
  <si>
    <t xml:space="preserve">#</t>
  </si>
  <si>
    <t xml:space="preserve">Position</t>
  </si>
  <si>
    <t xml:space="preserve">Person</t>
  </si>
  <si>
    <t xml:space="preserve">Contract Type M1–M6</t>
  </si>
  <si>
    <t xml:space="preserve">Expatriate?</t>
  </si>
  <si>
    <t xml:space="preserve">Work Arrangement</t>
  </si>
  <si>
    <t xml:space="preserve">M7+ Employment Basis</t>
  </si>
  <si>
    <t xml:space="preserve">One-Time Transition Bonus (M7)</t>
  </si>
  <si>
    <t xml:space="preserve">Classification Status</t>
  </si>
  <si>
    <t xml:space="preserve">Notes</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</si>
  <si>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</si>
  <si>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</si>
  <si>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</si>
  <si>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</si>
  <si>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</si>
  <si>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</si>
  <si>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</si>
  <si>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</si>
  <si>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</si>
  <si>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</si>
  <si>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</si>
  <si>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</si>
  <si>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Base Salary Annual</t>
  </si>
  <si>
    <t xml:space="preserve">COO / PU General Manager</t>
  </si>
  <si>
    <t xml:space="preserve">Martin del Castillo</t>
  </si>
  <si>
    <t xml:space="preserve">Expat</t>
  </si>
  <si>
    <t xml:space="preserve">Fixed</t>
  </si>
  <si>
    <t xml:space="preserve">Not applicable</t>
  </si>
  <si>
    <t xml:space="preserve">Confirmed</t>
  </si>
  <si>
    <t xml:space="preserve">Expat classification carried forward from prior instructions.</t>
  </si>
  <si>
    <t xml:space="preserve">EPCM &amp; Engineering Manager</t>
  </si>
  <si>
    <t xml:space="preserve">Juan Conde</t>
  </si>
  <si>
    <t xml:space="preserve">Repatriate</t>
  </si>
  <si>
    <t xml:space="preserve">Eligible — one-time; amount TBD</t>
  </si>
  <si>
    <t xml:space="preserve">Repatriate; transitions to Local — Venezuela from M7 after the one-time transition bonus.</t>
  </si>
  <si>
    <t xml:space="preserve">Drilling &amp; Well Services Manager</t>
  </si>
  <si>
    <t xml:space="preserve">Alexander Stulme</t>
  </si>
  <si>
    <t xml:space="preserve">Repatriate; initially appointed General Manager of PU on secondment; transitions to Local — Venezuela from M7.</t>
  </si>
  <si>
    <t xml:space="preserve">Operations &amp; Maintenance Manager</t>
  </si>
  <si>
    <t xml:space="preserve">Félix Valderrama</t>
  </si>
  <si>
    <t xml:space="preserve">Technical Manager (Geosciences)</t>
  </si>
  <si>
    <t xml:space="preserve">Alan McKeon</t>
  </si>
  <si>
    <t xml:space="preserve">Expat; initially appointed Technical Manager of PU on secondment.</t>
  </si>
  <si>
    <t xml:space="preserve">Reservoir Engineer</t>
  </si>
  <si>
    <t xml:space="preserve">JJI</t>
  </si>
  <si>
    <t xml:space="preserve">Local</t>
  </si>
  <si>
    <t xml:space="preserve">Assumption</t>
  </si>
  <si>
    <t xml:space="preserve">Remote role. Local / Fixed is an editable assumption pending confirmation.</t>
  </si>
  <si>
    <t xml:space="preserve">Rig Company Man</t>
  </si>
  <si>
    <t xml:space="preserve">Marcelo Dantas</t>
  </si>
  <si>
    <t xml:space="preserve">Rotation</t>
  </si>
  <si>
    <t xml:space="preserve">Rotation confirmed from prior instructions; Expat contract is an editable assumption.</t>
  </si>
  <si>
    <t xml:space="preserve">Planning &amp; PMO</t>
  </si>
  <si>
    <t xml:space="preserve">Jose Miguel</t>
  </si>
  <si>
    <t xml:space="preserve">Local in Maracaibo or staff house; no cash housing allowance by default.</t>
  </si>
  <si>
    <t xml:space="preserve">Operations Support</t>
  </si>
  <si>
    <t xml:space="preserve">Leticia Almeida</t>
  </si>
  <si>
    <t xml:space="preserve">TOTAL — 9 PEOPLE</t>
  </si>
  <si>
    <t xml:space="preserve">CLASSIFICATION SUMMARY</t>
  </si>
  <si>
    <t xml:space="preserve">Metric</t>
  </si>
  <si>
    <t xml:space="preserve">Count</t>
  </si>
  <si>
    <t xml:space="preserve">Meaning</t>
  </si>
  <si>
    <t xml:space="preserve">M1–M6 contract type Expat</t>
  </si>
  <si>
    <t xml:space="preserve">Transition to Local — Venezuela from M7</t>
  </si>
  <si>
    <t xml:space="preserve">Local contract from M1 through M12</t>
  </si>
  <si>
    <t xml:space="preserve">Fixed work arrangement</t>
  </si>
  <si>
    <t xml:space="preserve">Rotation work arrangement</t>
  </si>
  <si>
    <t xml:space="preserve">One-time transition bonuses</t>
  </si>
  <si>
    <t xml:space="preserve">M7 bonus only; amount is not yet set</t>
  </si>
  <si>
    <t xml:space="preserve">Assumptions to confirm</t>
  </si>
  <si>
    <t xml:space="preserve">Editable classifications requiring confirmation</t>
  </si>
  <si>
    <t xml:space="preserve">Contract and Benefit Rules by Stage</t>
  </si>
  <si>
    <t xml:space="preserve">Default policy view — individual packages may override these rules</t>
  </si>
  <si>
    <t xml:space="preserve">M1–M6 is initial stage | From M7 Repatriates operate as Local — Venezuela | Policy is subject to legal and HR validation</t>
  </si>
  <si>
    <t xml:space="preserve">M1–M6 Benefits</t>
  </si>
  <si>
    <t xml:space="preserve">M7+ Medical</t>
  </si>
  <si>
    <t xml:space="preserve">M7+ Housing</t>
  </si>
  <si>
    <t xml:space="preserve">M7+ Tax Treatment</t>
  </si>
  <si>
    <t xml:space="preserve">M7+ Other Benefits</t>
  </si>
  <si>
    <t xml:space="preserve">Default Status</t>
  </si>
  <si>
    <t xml:space="preserve">Policy Notes</t>
  </si>
  <si>
    <t xml:space="preserve">People Count</t>
  </si>
  <si>
    <t xml:space="preserve">Medical insurance only</t>
  </si>
  <si>
    <t xml:space="preserve">Continues as Expat assignment</t>
  </si>
  <si>
    <t xml:space="preserve">Company-provided medical insurance</t>
  </si>
  <si>
    <t xml:space="preserve">Housing / allowance only under an approved individual package</t>
  </si>
  <si>
    <t xml:space="preserve">Company tax support / equalisation only where contractually approved</t>
  </si>
  <si>
    <t xml:space="preserve">Home leave and company transport only under approved package</t>
  </si>
  <si>
    <t xml:space="preserve">Provisional</t>
  </si>
  <si>
    <t xml:space="preserve">No universal oil-and-gas benefit grid; package must reflect role, location and contract.</t>
  </si>
  <si>
    <t xml:space="preserve">Local — Venezuela from M7; document local payroll / employment basis</t>
  </si>
  <si>
    <t xml:space="preserve">Medical insurance according to approved local package</t>
  </si>
  <si>
    <t xml:space="preserve">City-based: local residence, staff house, hotel or allowance only if approved</t>
  </si>
  <si>
    <t xml:space="preserve">Employee assumes Venezuelan personal tax; apply local payroll and statutory treatment</t>
  </si>
  <si>
    <t xml:space="preserve">Company transport to work; local statutory benefits; any additional benefit requires individual approval</t>
  </si>
  <si>
    <t xml:space="preserve">Eligible once at M7; amount TBD; not recurring; not in monthly base salary</t>
  </si>
  <si>
    <t xml:space="preserve">Confirmed policy direction</t>
  </si>
  <si>
    <t xml:space="preserve">One-time bonus is a transition/localisation support—not an annual incentive. Legal review determines salary and tax treatment.</t>
  </si>
  <si>
    <t xml:space="preserve">Local — Venezuela</t>
  </si>
  <si>
    <t xml:space="preserve">Local residence or staff house; no cash housing allowance by default</t>
  </si>
  <si>
    <t xml:space="preserve">Company transport according to role; local statutory benefits</t>
  </si>
  <si>
    <t xml:space="preserve">No international home leave or expat allowance by default.</t>
  </si>
  <si>
    <t xml:space="preserve">WORK ARRANGEMENT RULES</t>
  </si>
  <si>
    <t xml:space="preserve">Application</t>
  </si>
  <si>
    <t xml:space="preserve">M1–M6</t>
  </si>
  <si>
    <t xml:space="preserve">M7+ Housing / Lodging</t>
  </si>
  <si>
    <t xml:space="preserve">M7+ Travel / Leave</t>
  </si>
  <si>
    <t xml:space="preserve">Continuous assignment to the role</t>
  </si>
  <si>
    <t xml:space="preserve">Based on contract type, city and approved package</t>
  </si>
  <si>
    <t xml:space="preserve">According to contract type / local policy</t>
  </si>
  <si>
    <t xml:space="preserve">JJI is Fixed but Remote; Remote is noted separately.</t>
  </si>
  <si>
    <t xml:space="preserve">Roster-based presence in Venezuela</t>
  </si>
  <si>
    <t xml:space="preserve">Hotel, staff house or rotational lodging; avoid duplicate permanent housing</t>
  </si>
  <si>
    <t xml:space="preserve">Rotation roster travel replaces or supplements home leave only if approved</t>
  </si>
  <si>
    <t xml:space="preserve">Marcelo Dantas is currently shown as Rotation.</t>
  </si>
  <si>
    <t xml:space="preserve">Policy decision recorded: every Repatriate receives only a one-time M7 transition / repatriation bonus and thereafter is treated as Local — Venezuela. This is not a recurring bonus and is excluded from the monthly base salary. The amount, whether it is salary for Venezuelan labor purposes, the payroll / tax / social-security treatment, immigration status, and local statutory benefits must be approved by Venezuelan legal, tax and HR advisers before implementation. Venezuelan rules apply to employment relationships performed in Venezuela, irrespective of nationality.</t>
  </si>
</sst>
</file>

<file path=xl/styles.xml><?xml version="1.0" encoding="utf-8"?>
<styleSheet xmlns="http://schemas.openxmlformats.org/spreadsheetml/2006/main">
  <numFmts count="5">
    <numFmt numFmtId="164" formatCode="General"/>
    <numFmt numFmtId="165" formatCode="General"/>
    <numFmt numFmtId="166" formatCode="\$#,##0.0;[RED]&quot;($&quot;#,##0.0\);\-"/>
    <numFmt numFmtId="167" formatCode="#,##0.0;[RED]\(#,##0.0\);\-"/>
    <numFmt numFmtId="168" formatCode="#,##0"/>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color rgb="FFC00000"/>
      <name val="Arial"/>
      <family val="0"/>
      <charset val="1"/>
    </font>
  </fonts>
  <fills count="4">
    <fill>
      <patternFill patternType="none"/>
    </fill>
    <fill>
      <patternFill patternType="gray125"/>
    </fill>
    <fill>
      <patternFill patternType="solid">
        <fgColor rgb="FF135B44"/>
        <bgColor rgb="FF333333"/>
      </patternFill>
    </fill>
    <fill>
      <patternFill patternType="solid">
        <fgColor rgb="FFCFE9E0"/>
        <bgColor rgb="FFCCFFFF"/>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5" fontId="9"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7" fontId="9" fillId="0" borderId="2" xfId="0" applyFont="true" applyBorder="true" applyAlignment="true" applyProtection="false">
      <alignment horizontal="right" vertical="center" textRotation="0" wrapText="false" indent="0" shrinkToFit="false"/>
      <protection locked="true" hidden="false"/>
    </xf>
    <xf numFmtId="166" fontId="8" fillId="0" borderId="3" xfId="0" applyFont="true" applyBorder="true" applyAlignment="true" applyProtection="false">
      <alignment horizontal="right" vertical="center" textRotation="0" wrapText="false" indent="0" shrinkToFit="false"/>
      <protection locked="true" hidden="false"/>
    </xf>
    <xf numFmtId="167" fontId="8" fillId="0" borderId="3" xfId="0" applyFont="true" applyBorder="true" applyAlignment="true" applyProtection="false">
      <alignment horizontal="right" vertical="center" textRotation="0" wrapText="fals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6" fontId="9" fillId="0" borderId="4" xfId="0" applyFont="true" applyBorder="true" applyAlignment="true" applyProtection="false">
      <alignment horizontal="right" vertical="center" textRotation="0" wrapText="false" indent="0" shrinkToFit="false"/>
      <protection locked="true" hidden="false"/>
    </xf>
    <xf numFmtId="167" fontId="9" fillId="0" borderId="4" xfId="0" applyFont="true" applyBorder="true" applyAlignment="true" applyProtection="false">
      <alignment horizontal="right" vertical="center" textRotation="0" wrapText="fals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8" fontId="11" fillId="0" borderId="3" xfId="0" applyFont="true" applyBorder="true" applyAlignment="true" applyProtection="false">
      <alignment horizontal="right" vertical="center" textRotation="0" wrapText="fals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Y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2" ySplit="8" topLeftCell="M9" activePane="bottomRight" state="frozen"/>
      <selection pane="topLeft" activeCell="A1" activeCellId="0" sqref="A1"/>
      <selection pane="topRight" activeCell="M1" activeCellId="0" sqref="M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0"/>
    <col collapsed="false" customWidth="true" hidden="false" outlineLevel="0" max="5" min="4" style="0" width="38"/>
    <col collapsed="false" customWidth="true" hidden="false" outlineLevel="0" max="6" min="6" style="0" width="22"/>
    <col collapsed="false" customWidth="true" hidden="false" outlineLevel="0" max="7" min="7" style="0" width="30"/>
    <col collapsed="false" customWidth="true" hidden="false" outlineLevel="0" max="8" min="8" style="0" width="19"/>
    <col collapsed="false" customWidth="true" hidden="false" outlineLevel="0" max="9" min="9" style="0" width="38"/>
    <col collapsed="false" customWidth="true" hidden="false" outlineLevel="0" max="10" min="10" style="0" width="29"/>
    <col collapsed="false" customWidth="true" hidden="false" outlineLevel="0" max="11" min="11" style="0" width="24"/>
    <col collapsed="false" customWidth="true" hidden="false" outlineLevel="0" max="12" min="12" style="0" width="38"/>
    <col collapsed="false" customWidth="true" hidden="false" outlineLevel="0" max="25" min="13" style="0" width="14"/>
  </cols>
  <sheetData>
    <row r="3" customFormat="false" ht="24.75" hidden="false" customHeight="true" outlineLevel="0" collapsed="false">
      <c r="C3" s="1" t="s">
        <v>0</v>
      </c>
      <c r="D3" s="1"/>
      <c r="E3" s="1"/>
      <c r="F3" s="1"/>
      <c r="G3" s="1"/>
      <c r="H3" s="1"/>
      <c r="I3" s="1"/>
      <c r="J3" s="1"/>
      <c r="K3" s="1"/>
      <c r="L3" s="1"/>
      <c r="M3" s="1"/>
      <c r="N3" s="1"/>
      <c r="O3" s="1"/>
      <c r="P3" s="1"/>
      <c r="Q3" s="1"/>
      <c r="R3" s="1"/>
      <c r="S3" s="1"/>
      <c r="T3" s="1"/>
      <c r="U3" s="1"/>
      <c r="V3" s="1"/>
      <c r="W3" s="1"/>
      <c r="X3" s="1"/>
      <c r="Y3" s="1"/>
    </row>
    <row r="5" customFormat="false" ht="15" hidden="false" customHeight="false" outlineLevel="0" collapsed="false">
      <c r="C5" s="2" t="s">
        <v>1</v>
      </c>
      <c r="D5" s="2"/>
      <c r="E5" s="2"/>
      <c r="F5" s="2"/>
      <c r="G5" s="2"/>
      <c r="H5" s="2"/>
      <c r="I5" s="2"/>
      <c r="J5" s="2"/>
      <c r="K5" s="2"/>
      <c r="L5" s="2"/>
      <c r="M5" s="2"/>
      <c r="N5" s="2"/>
      <c r="O5" s="2"/>
      <c r="P5" s="2"/>
      <c r="Q5" s="2"/>
      <c r="R5" s="2"/>
      <c r="S5" s="2"/>
      <c r="T5" s="2"/>
      <c r="U5" s="2"/>
      <c r="V5" s="2"/>
      <c r="W5" s="2"/>
      <c r="X5" s="2"/>
      <c r="Y5" s="2"/>
    </row>
    <row r="6" customFormat="false" ht="15" hidden="false" customHeight="false" outlineLevel="0" collapsed="false">
      <c r="C6" s="3" t="s">
        <v>2</v>
      </c>
      <c r="D6" s="3"/>
      <c r="E6" s="3"/>
      <c r="F6" s="3"/>
      <c r="G6" s="3"/>
      <c r="H6" s="3"/>
      <c r="I6" s="3"/>
      <c r="J6" s="3"/>
      <c r="K6" s="3"/>
      <c r="L6" s="3"/>
      <c r="M6" s="3"/>
      <c r="N6" s="3"/>
      <c r="O6" s="3"/>
      <c r="P6" s="3"/>
      <c r="Q6" s="3"/>
      <c r="R6" s="3"/>
      <c r="S6" s="3"/>
      <c r="T6" s="3"/>
      <c r="U6" s="3"/>
      <c r="V6" s="3"/>
      <c r="W6" s="3"/>
      <c r="X6" s="3"/>
      <c r="Y6" s="3"/>
    </row>
    <row r="8" customFormat="false" ht="33.75" hidden="false" customHeight="true" outlineLevel="0" collapsed="false">
      <c r="C8" s="4" t="s">
        <v>3</v>
      </c>
      <c r="D8" s="5" t="s">
        <v>4</v>
      </c>
      <c r="E8" s="5" t="s">
        <v>5</v>
      </c>
      <c r="F8" s="5" t="s">
        <v>6</v>
      </c>
      <c r="G8" s="5" t="s">
        <v>7</v>
      </c>
      <c r="H8" s="5" t="s">
        <v>8</v>
      </c>
      <c r="I8" s="5" t="s">
        <v>9</v>
      </c>
      <c r="J8" s="5" t="s">
        <v>10</v>
      </c>
      <c r="K8" s="5" t="s">
        <v>11</v>
      </c>
      <c r="L8" s="5" t="s">
        <v>12</v>
      </c>
      <c r="M8" s="5" t="s">
        <v>13</v>
      </c>
      <c r="N8" s="5" t="s">
        <v>14</v>
      </c>
      <c r="O8" s="5" t="s">
        <v>15</v>
      </c>
      <c r="P8" s="5" t="s">
        <v>16</v>
      </c>
      <c r="Q8" s="5" t="s">
        <v>17</v>
      </c>
      <c r="R8" s="5" t="s">
        <v>18</v>
      </c>
      <c r="S8" s="5" t="s">
        <v>19</v>
      </c>
      <c r="T8" s="5" t="s">
        <v>20</v>
      </c>
      <c r="U8" s="5" t="s">
        <v>21</v>
      </c>
      <c r="V8" s="5" t="s">
        <v>22</v>
      </c>
      <c r="W8" s="5" t="s">
        <v>23</v>
      </c>
      <c r="X8" s="5" t="s">
        <v>24</v>
      </c>
      <c r="Y8" s="6" t="s">
        <v>25</v>
      </c>
    </row>
    <row r="9" customFormat="false" ht="31.5" hidden="false" customHeight="true" outlineLevel="0" collapsed="false">
      <c r="C9" s="7" t="n">
        <v>1</v>
      </c>
      <c r="D9" s="8" t="s">
        <v>26</v>
      </c>
      <c r="E9" s="9" t="s">
        <v>27</v>
      </c>
      <c r="F9" s="10" t="s">
        <v>28</v>
      </c>
      <c r="G9" s="11" t="str">
        <f aca="false">IF(F9="Expat","Yes","No")</f>
        <v>Yes</v>
      </c>
      <c r="H9" s="10" t="s">
        <v>29</v>
      </c>
      <c r="I9" s="12" t="str">
        <f aca="false">IF(F9="Repatriate","Local — Venezuela",F9)</f>
        <v>Expat</v>
      </c>
      <c r="J9" s="13" t="s">
        <v>30</v>
      </c>
      <c r="K9" s="10" t="s">
        <v>31</v>
      </c>
      <c r="L9" s="8" t="s">
        <v>32</v>
      </c>
      <c r="M9" s="14" t="n">
        <f aca="false">$Y9/12</f>
        <v>30000</v>
      </c>
      <c r="N9" s="15" t="n">
        <f aca="false">$Y9/12</f>
        <v>30000</v>
      </c>
      <c r="O9" s="15" t="n">
        <f aca="false">$Y9/12</f>
        <v>30000</v>
      </c>
      <c r="P9" s="15" t="n">
        <f aca="false">$Y9/12</f>
        <v>30000</v>
      </c>
      <c r="Q9" s="15" t="n">
        <f aca="false">$Y9/12</f>
        <v>30000</v>
      </c>
      <c r="R9" s="15" t="n">
        <f aca="false">$Y9/12</f>
        <v>30000</v>
      </c>
      <c r="S9" s="15" t="n">
        <f aca="false">$Y9/12</f>
        <v>30000</v>
      </c>
      <c r="T9" s="15" t="n">
        <f aca="false">$Y9/12</f>
        <v>30000</v>
      </c>
      <c r="U9" s="15" t="n">
        <f aca="false">$Y9/12</f>
        <v>30000</v>
      </c>
      <c r="V9" s="15" t="n">
        <f aca="false">$Y9/12</f>
        <v>30000</v>
      </c>
      <c r="W9" s="15" t="n">
        <f aca="false">$Y9/12</f>
        <v>30000</v>
      </c>
      <c r="X9" s="15" t="n">
        <f aca="false">$Y9/12</f>
        <v>30000</v>
      </c>
      <c r="Y9" s="16" t="n">
        <v>360000</v>
      </c>
    </row>
    <row r="10" customFormat="false" ht="31.5" hidden="false" customHeight="true" outlineLevel="0" collapsed="false">
      <c r="C10" s="7" t="n">
        <v>2</v>
      </c>
      <c r="D10" s="8" t="s">
        <v>33</v>
      </c>
      <c r="E10" s="9" t="s">
        <v>34</v>
      </c>
      <c r="F10" s="10" t="s">
        <v>35</v>
      </c>
      <c r="G10" s="11" t="str">
        <f aca="false">IF(F10="Expat","Yes","No")</f>
        <v>No</v>
      </c>
      <c r="H10" s="10" t="s">
        <v>29</v>
      </c>
      <c r="I10" s="12" t="str">
        <f aca="false">IF(F10="Repatriate","Local — Venezuela",F10)</f>
        <v>Local — Venezuela</v>
      </c>
      <c r="J10" s="13" t="s">
        <v>36</v>
      </c>
      <c r="K10" s="10" t="s">
        <v>31</v>
      </c>
      <c r="L10" s="8" t="s">
        <v>37</v>
      </c>
      <c r="M10" s="15" t="n">
        <f aca="false">$Y10/12</f>
        <v>18000</v>
      </c>
      <c r="N10" s="15" t="n">
        <f aca="false">$Y10/12</f>
        <v>18000</v>
      </c>
      <c r="O10" s="15" t="n">
        <f aca="false">$Y10/12</f>
        <v>18000</v>
      </c>
      <c r="P10" s="15" t="n">
        <f aca="false">$Y10/12</f>
        <v>18000</v>
      </c>
      <c r="Q10" s="15" t="n">
        <f aca="false">$Y10/12</f>
        <v>18000</v>
      </c>
      <c r="R10" s="15" t="n">
        <f aca="false">$Y10/12</f>
        <v>18000</v>
      </c>
      <c r="S10" s="15" t="n">
        <f aca="false">$Y10/12</f>
        <v>18000</v>
      </c>
      <c r="T10" s="15" t="n">
        <f aca="false">$Y10/12</f>
        <v>18000</v>
      </c>
      <c r="U10" s="15" t="n">
        <f aca="false">$Y10/12</f>
        <v>18000</v>
      </c>
      <c r="V10" s="15" t="n">
        <f aca="false">$Y10/12</f>
        <v>18000</v>
      </c>
      <c r="W10" s="15" t="n">
        <f aca="false">$Y10/12</f>
        <v>18000</v>
      </c>
      <c r="X10" s="15" t="n">
        <f aca="false">$Y10/12</f>
        <v>18000</v>
      </c>
      <c r="Y10" s="17" t="n">
        <v>216000</v>
      </c>
    </row>
    <row r="11" customFormat="false" ht="31.5" hidden="false" customHeight="true" outlineLevel="0" collapsed="false">
      <c r="C11" s="7" t="n">
        <v>3</v>
      </c>
      <c r="D11" s="8" t="s">
        <v>38</v>
      </c>
      <c r="E11" s="9" t="s">
        <v>39</v>
      </c>
      <c r="F11" s="10" t="s">
        <v>35</v>
      </c>
      <c r="G11" s="11" t="str">
        <f aca="false">IF(F11="Expat","Yes","No")</f>
        <v>No</v>
      </c>
      <c r="H11" s="10" t="s">
        <v>29</v>
      </c>
      <c r="I11" s="12" t="str">
        <f aca="false">IF(F11="Repatriate","Local — Venezuela",F11)</f>
        <v>Local — Venezuela</v>
      </c>
      <c r="J11" s="13" t="s">
        <v>36</v>
      </c>
      <c r="K11" s="10" t="s">
        <v>31</v>
      </c>
      <c r="L11" s="8" t="s">
        <v>40</v>
      </c>
      <c r="M11" s="15" t="n">
        <f aca="false">$Y11/12</f>
        <v>15000</v>
      </c>
      <c r="N11" s="15" t="n">
        <f aca="false">$Y11/12</f>
        <v>15000</v>
      </c>
      <c r="O11" s="15" t="n">
        <f aca="false">$Y11/12</f>
        <v>15000</v>
      </c>
      <c r="P11" s="15" t="n">
        <f aca="false">$Y11/12</f>
        <v>15000</v>
      </c>
      <c r="Q11" s="15" t="n">
        <f aca="false">$Y11/12</f>
        <v>15000</v>
      </c>
      <c r="R11" s="15" t="n">
        <f aca="false">$Y11/12</f>
        <v>15000</v>
      </c>
      <c r="S11" s="15" t="n">
        <f aca="false">$Y11/12</f>
        <v>15000</v>
      </c>
      <c r="T11" s="15" t="n">
        <f aca="false">$Y11/12</f>
        <v>15000</v>
      </c>
      <c r="U11" s="15" t="n">
        <f aca="false">$Y11/12</f>
        <v>15000</v>
      </c>
      <c r="V11" s="15" t="n">
        <f aca="false">$Y11/12</f>
        <v>15000</v>
      </c>
      <c r="W11" s="15" t="n">
        <f aca="false">$Y11/12</f>
        <v>15000</v>
      </c>
      <c r="X11" s="15" t="n">
        <f aca="false">$Y11/12</f>
        <v>15000</v>
      </c>
      <c r="Y11" s="17" t="n">
        <v>180000</v>
      </c>
    </row>
    <row r="12" customFormat="false" ht="31.5" hidden="false" customHeight="true" outlineLevel="0" collapsed="false">
      <c r="C12" s="7" t="n">
        <v>4</v>
      </c>
      <c r="D12" s="8" t="s">
        <v>41</v>
      </c>
      <c r="E12" s="9" t="s">
        <v>42</v>
      </c>
      <c r="F12" s="10" t="s">
        <v>35</v>
      </c>
      <c r="G12" s="11" t="str">
        <f aca="false">IF(F12="Expat","Yes","No")</f>
        <v>No</v>
      </c>
      <c r="H12" s="10" t="s">
        <v>29</v>
      </c>
      <c r="I12" s="12" t="str">
        <f aca="false">IF(F12="Repatriate","Local — Venezuela",F12)</f>
        <v>Local — Venezuela</v>
      </c>
      <c r="J12" s="13" t="s">
        <v>36</v>
      </c>
      <c r="K12" s="10" t="s">
        <v>31</v>
      </c>
      <c r="L12" s="8" t="s">
        <v>37</v>
      </c>
      <c r="M12" s="15" t="n">
        <f aca="false">$Y12/12</f>
        <v>18000</v>
      </c>
      <c r="N12" s="15" t="n">
        <f aca="false">$Y12/12</f>
        <v>18000</v>
      </c>
      <c r="O12" s="15" t="n">
        <f aca="false">$Y12/12</f>
        <v>18000</v>
      </c>
      <c r="P12" s="15" t="n">
        <f aca="false">$Y12/12</f>
        <v>18000</v>
      </c>
      <c r="Q12" s="15" t="n">
        <f aca="false">$Y12/12</f>
        <v>18000</v>
      </c>
      <c r="R12" s="15" t="n">
        <f aca="false">$Y12/12</f>
        <v>18000</v>
      </c>
      <c r="S12" s="15" t="n">
        <f aca="false">$Y12/12</f>
        <v>18000</v>
      </c>
      <c r="T12" s="15" t="n">
        <f aca="false">$Y12/12</f>
        <v>18000</v>
      </c>
      <c r="U12" s="15" t="n">
        <f aca="false">$Y12/12</f>
        <v>18000</v>
      </c>
      <c r="V12" s="15" t="n">
        <f aca="false">$Y12/12</f>
        <v>18000</v>
      </c>
      <c r="W12" s="15" t="n">
        <f aca="false">$Y12/12</f>
        <v>18000</v>
      </c>
      <c r="X12" s="15" t="n">
        <f aca="false">$Y12/12</f>
        <v>18000</v>
      </c>
      <c r="Y12" s="17" t="n">
        <v>216000</v>
      </c>
    </row>
    <row r="13" customFormat="false" ht="31.5" hidden="false" customHeight="true" outlineLevel="0" collapsed="false">
      <c r="C13" s="7" t="n">
        <v>5</v>
      </c>
      <c r="D13" s="8" t="s">
        <v>43</v>
      </c>
      <c r="E13" s="9" t="s">
        <v>44</v>
      </c>
      <c r="F13" s="10" t="s">
        <v>28</v>
      </c>
      <c r="G13" s="11" t="str">
        <f aca="false">IF(F13="Expat","Yes","No")</f>
        <v>Yes</v>
      </c>
      <c r="H13" s="10" t="s">
        <v>29</v>
      </c>
      <c r="I13" s="12" t="str">
        <f aca="false">IF(F13="Repatriate","Local — Venezuela",F13)</f>
        <v>Expat</v>
      </c>
      <c r="J13" s="13" t="s">
        <v>30</v>
      </c>
      <c r="K13" s="10" t="s">
        <v>31</v>
      </c>
      <c r="L13" s="8" t="s">
        <v>45</v>
      </c>
      <c r="M13" s="15" t="n">
        <f aca="false">$Y13/12</f>
        <v>15000</v>
      </c>
      <c r="N13" s="15" t="n">
        <f aca="false">$Y13/12</f>
        <v>15000</v>
      </c>
      <c r="O13" s="15" t="n">
        <f aca="false">$Y13/12</f>
        <v>15000</v>
      </c>
      <c r="P13" s="15" t="n">
        <f aca="false">$Y13/12</f>
        <v>15000</v>
      </c>
      <c r="Q13" s="15" t="n">
        <f aca="false">$Y13/12</f>
        <v>15000</v>
      </c>
      <c r="R13" s="15" t="n">
        <f aca="false">$Y13/12</f>
        <v>15000</v>
      </c>
      <c r="S13" s="15" t="n">
        <f aca="false">$Y13/12</f>
        <v>15000</v>
      </c>
      <c r="T13" s="15" t="n">
        <f aca="false">$Y13/12</f>
        <v>15000</v>
      </c>
      <c r="U13" s="15" t="n">
        <f aca="false">$Y13/12</f>
        <v>15000</v>
      </c>
      <c r="V13" s="15" t="n">
        <f aca="false">$Y13/12</f>
        <v>15000</v>
      </c>
      <c r="W13" s="15" t="n">
        <f aca="false">$Y13/12</f>
        <v>15000</v>
      </c>
      <c r="X13" s="15" t="n">
        <f aca="false">$Y13/12</f>
        <v>15000</v>
      </c>
      <c r="Y13" s="17" t="n">
        <v>180000</v>
      </c>
    </row>
    <row r="14" customFormat="false" ht="31.5" hidden="false" customHeight="true" outlineLevel="0" collapsed="false">
      <c r="C14" s="7" t="n">
        <v>6</v>
      </c>
      <c r="D14" s="8" t="s">
        <v>46</v>
      </c>
      <c r="E14" s="9" t="s">
        <v>47</v>
      </c>
      <c r="F14" s="10" t="s">
        <v>48</v>
      </c>
      <c r="G14" s="11" t="str">
        <f aca="false">IF(F14="Expat","Yes","No")</f>
        <v>No</v>
      </c>
      <c r="H14" s="10" t="s">
        <v>29</v>
      </c>
      <c r="I14" s="12" t="str">
        <f aca="false">IF(F14="Repatriate","Local — Venezuela",F14)</f>
        <v>Local</v>
      </c>
      <c r="J14" s="13" t="s">
        <v>30</v>
      </c>
      <c r="K14" s="10" t="s">
        <v>49</v>
      </c>
      <c r="L14" s="8" t="s">
        <v>50</v>
      </c>
      <c r="M14" s="15" t="n">
        <f aca="false">$Y14/12</f>
        <v>10000</v>
      </c>
      <c r="N14" s="15" t="n">
        <f aca="false">$Y14/12</f>
        <v>10000</v>
      </c>
      <c r="O14" s="15" t="n">
        <f aca="false">$Y14/12</f>
        <v>10000</v>
      </c>
      <c r="P14" s="15" t="n">
        <f aca="false">$Y14/12</f>
        <v>10000</v>
      </c>
      <c r="Q14" s="15" t="n">
        <f aca="false">$Y14/12</f>
        <v>10000</v>
      </c>
      <c r="R14" s="15" t="n">
        <f aca="false">$Y14/12</f>
        <v>10000</v>
      </c>
      <c r="S14" s="15" t="n">
        <f aca="false">$Y14/12</f>
        <v>10000</v>
      </c>
      <c r="T14" s="15" t="n">
        <f aca="false">$Y14/12</f>
        <v>10000</v>
      </c>
      <c r="U14" s="15" t="n">
        <f aca="false">$Y14/12</f>
        <v>10000</v>
      </c>
      <c r="V14" s="15" t="n">
        <f aca="false">$Y14/12</f>
        <v>10000</v>
      </c>
      <c r="W14" s="15" t="n">
        <f aca="false">$Y14/12</f>
        <v>10000</v>
      </c>
      <c r="X14" s="15" t="n">
        <f aca="false">$Y14/12</f>
        <v>10000</v>
      </c>
      <c r="Y14" s="17" t="n">
        <v>120000</v>
      </c>
    </row>
    <row r="15" customFormat="false" ht="31.5" hidden="false" customHeight="true" outlineLevel="0" collapsed="false">
      <c r="C15" s="7" t="n">
        <v>7</v>
      </c>
      <c r="D15" s="8" t="s">
        <v>51</v>
      </c>
      <c r="E15" s="9" t="s">
        <v>52</v>
      </c>
      <c r="F15" s="10" t="s">
        <v>28</v>
      </c>
      <c r="G15" s="11" t="str">
        <f aca="false">IF(F15="Expat","Yes","No")</f>
        <v>Yes</v>
      </c>
      <c r="H15" s="10" t="s">
        <v>53</v>
      </c>
      <c r="I15" s="12" t="str">
        <f aca="false">IF(F15="Repatriate","Local — Venezuela",F15)</f>
        <v>Expat</v>
      </c>
      <c r="J15" s="13" t="s">
        <v>30</v>
      </c>
      <c r="K15" s="10" t="s">
        <v>49</v>
      </c>
      <c r="L15" s="8" t="s">
        <v>54</v>
      </c>
      <c r="M15" s="15" t="n">
        <f aca="false">$Y15/12</f>
        <v>15000</v>
      </c>
      <c r="N15" s="15" t="n">
        <f aca="false">$Y15/12</f>
        <v>15000</v>
      </c>
      <c r="O15" s="15" t="n">
        <f aca="false">$Y15/12</f>
        <v>15000</v>
      </c>
      <c r="P15" s="15" t="n">
        <f aca="false">$Y15/12</f>
        <v>15000</v>
      </c>
      <c r="Q15" s="15" t="n">
        <f aca="false">$Y15/12</f>
        <v>15000</v>
      </c>
      <c r="R15" s="15" t="n">
        <f aca="false">$Y15/12</f>
        <v>15000</v>
      </c>
      <c r="S15" s="15" t="n">
        <f aca="false">$Y15/12</f>
        <v>15000</v>
      </c>
      <c r="T15" s="15" t="n">
        <f aca="false">$Y15/12</f>
        <v>15000</v>
      </c>
      <c r="U15" s="15" t="n">
        <f aca="false">$Y15/12</f>
        <v>15000</v>
      </c>
      <c r="V15" s="15" t="n">
        <f aca="false">$Y15/12</f>
        <v>15000</v>
      </c>
      <c r="W15" s="15" t="n">
        <f aca="false">$Y15/12</f>
        <v>15000</v>
      </c>
      <c r="X15" s="15" t="n">
        <f aca="false">$Y15/12</f>
        <v>15000</v>
      </c>
      <c r="Y15" s="17" t="n">
        <v>180000</v>
      </c>
    </row>
    <row r="16" customFormat="false" ht="31.5" hidden="false" customHeight="true" outlineLevel="0" collapsed="false">
      <c r="C16" s="7" t="n">
        <v>8</v>
      </c>
      <c r="D16" s="8" t="s">
        <v>55</v>
      </c>
      <c r="E16" s="9" t="s">
        <v>56</v>
      </c>
      <c r="F16" s="10" t="s">
        <v>48</v>
      </c>
      <c r="G16" s="11" t="str">
        <f aca="false">IF(F16="Expat","Yes","No")</f>
        <v>No</v>
      </c>
      <c r="H16" s="10" t="s">
        <v>29</v>
      </c>
      <c r="I16" s="12" t="str">
        <f aca="false">IF(F16="Repatriate","Local — Venezuela",F16)</f>
        <v>Local</v>
      </c>
      <c r="J16" s="13" t="s">
        <v>30</v>
      </c>
      <c r="K16" s="10" t="s">
        <v>31</v>
      </c>
      <c r="L16" s="8" t="s">
        <v>57</v>
      </c>
      <c r="M16" s="15" t="n">
        <f aca="false">$Y16/12</f>
        <v>4000</v>
      </c>
      <c r="N16" s="15" t="n">
        <f aca="false">$Y16/12</f>
        <v>4000</v>
      </c>
      <c r="O16" s="15" t="n">
        <f aca="false">$Y16/12</f>
        <v>4000</v>
      </c>
      <c r="P16" s="15" t="n">
        <f aca="false">$Y16/12</f>
        <v>4000</v>
      </c>
      <c r="Q16" s="15" t="n">
        <f aca="false">$Y16/12</f>
        <v>4000</v>
      </c>
      <c r="R16" s="15" t="n">
        <f aca="false">$Y16/12</f>
        <v>4000</v>
      </c>
      <c r="S16" s="15" t="n">
        <f aca="false">$Y16/12</f>
        <v>4000</v>
      </c>
      <c r="T16" s="15" t="n">
        <f aca="false">$Y16/12</f>
        <v>4000</v>
      </c>
      <c r="U16" s="15" t="n">
        <f aca="false">$Y16/12</f>
        <v>4000</v>
      </c>
      <c r="V16" s="15" t="n">
        <f aca="false">$Y16/12</f>
        <v>4000</v>
      </c>
      <c r="W16" s="15" t="n">
        <f aca="false">$Y16/12</f>
        <v>4000</v>
      </c>
      <c r="X16" s="15" t="n">
        <f aca="false">$Y16/12</f>
        <v>4000</v>
      </c>
      <c r="Y16" s="17" t="n">
        <v>48000</v>
      </c>
    </row>
    <row r="17" customFormat="false" ht="31.5" hidden="false" customHeight="true" outlineLevel="0" collapsed="false">
      <c r="C17" s="7" t="n">
        <v>9</v>
      </c>
      <c r="D17" s="8" t="s">
        <v>58</v>
      </c>
      <c r="E17" s="9" t="s">
        <v>59</v>
      </c>
      <c r="F17" s="10" t="s">
        <v>48</v>
      </c>
      <c r="G17" s="11" t="str">
        <f aca="false">IF(F17="Expat","Yes","No")</f>
        <v>No</v>
      </c>
      <c r="H17" s="10" t="s">
        <v>29</v>
      </c>
      <c r="I17" s="12" t="str">
        <f aca="false">IF(F17="Repatriate","Local — Venezuela",F17)</f>
        <v>Local</v>
      </c>
      <c r="J17" s="13" t="s">
        <v>30</v>
      </c>
      <c r="K17" s="10" t="s">
        <v>31</v>
      </c>
      <c r="L17" s="8" t="s">
        <v>57</v>
      </c>
      <c r="M17" s="15" t="n">
        <f aca="false">$Y17/12</f>
        <v>4000</v>
      </c>
      <c r="N17" s="15" t="n">
        <f aca="false">$Y17/12</f>
        <v>4000</v>
      </c>
      <c r="O17" s="15" t="n">
        <f aca="false">$Y17/12</f>
        <v>4000</v>
      </c>
      <c r="P17" s="15" t="n">
        <f aca="false">$Y17/12</f>
        <v>4000</v>
      </c>
      <c r="Q17" s="15" t="n">
        <f aca="false">$Y17/12</f>
        <v>4000</v>
      </c>
      <c r="R17" s="15" t="n">
        <f aca="false">$Y17/12</f>
        <v>4000</v>
      </c>
      <c r="S17" s="15" t="n">
        <f aca="false">$Y17/12</f>
        <v>4000</v>
      </c>
      <c r="T17" s="15" t="n">
        <f aca="false">$Y17/12</f>
        <v>4000</v>
      </c>
      <c r="U17" s="15" t="n">
        <f aca="false">$Y17/12</f>
        <v>4000</v>
      </c>
      <c r="V17" s="15" t="n">
        <f aca="false">$Y17/12</f>
        <v>4000</v>
      </c>
      <c r="W17" s="15" t="n">
        <f aca="false">$Y17/12</f>
        <v>4000</v>
      </c>
      <c r="X17" s="15" t="n">
        <f aca="false">$Y17/12</f>
        <v>4000</v>
      </c>
      <c r="Y17" s="17" t="n">
        <v>48000</v>
      </c>
    </row>
    <row r="18" customFormat="false" ht="15" hidden="false" customHeight="false" outlineLevel="0" collapsed="false">
      <c r="C18" s="18" t="s">
        <v>60</v>
      </c>
      <c r="D18" s="18"/>
      <c r="E18" s="18"/>
      <c r="F18" s="18"/>
      <c r="G18" s="18"/>
      <c r="H18" s="18"/>
      <c r="I18" s="18"/>
      <c r="J18" s="18"/>
      <c r="K18" s="18"/>
      <c r="L18" s="18"/>
      <c r="M18" s="19" t="n">
        <f aca="false">SUM(M9:M17)</f>
        <v>129000</v>
      </c>
      <c r="N18" s="20" t="n">
        <f aca="false">SUM(N9:N17)</f>
        <v>129000</v>
      </c>
      <c r="O18" s="20" t="n">
        <f aca="false">SUM(O9:O17)</f>
        <v>129000</v>
      </c>
      <c r="P18" s="20" t="n">
        <f aca="false">SUM(P9:P17)</f>
        <v>129000</v>
      </c>
      <c r="Q18" s="20" t="n">
        <f aca="false">SUM(Q9:Q17)</f>
        <v>129000</v>
      </c>
      <c r="R18" s="20" t="n">
        <f aca="false">SUM(R9:R17)</f>
        <v>129000</v>
      </c>
      <c r="S18" s="20" t="n">
        <f aca="false">SUM(S9:S17)</f>
        <v>129000</v>
      </c>
      <c r="T18" s="20" t="n">
        <f aca="false">SUM(T9:T17)</f>
        <v>129000</v>
      </c>
      <c r="U18" s="20" t="n">
        <f aca="false">SUM(U9:U17)</f>
        <v>129000</v>
      </c>
      <c r="V18" s="20" t="n">
        <f aca="false">SUM(V9:V17)</f>
        <v>129000</v>
      </c>
      <c r="W18" s="20" t="n">
        <f aca="false">SUM(W9:W17)</f>
        <v>129000</v>
      </c>
      <c r="X18" s="20" t="n">
        <f aca="false">SUM(X9:X17)</f>
        <v>129000</v>
      </c>
      <c r="Y18" s="19" t="n">
        <f aca="false">SUM(Y9:Y17)</f>
        <v>1548000</v>
      </c>
    </row>
    <row r="21" customFormat="false" ht="15" hidden="false" customHeight="false" outlineLevel="0" collapsed="false">
      <c r="C21" s="21" t="s">
        <v>61</v>
      </c>
      <c r="D21" s="21"/>
      <c r="E21" s="21"/>
      <c r="F21" s="21"/>
      <c r="G21" s="21"/>
      <c r="H21" s="21"/>
      <c r="I21" s="21"/>
      <c r="J21" s="21"/>
      <c r="K21" s="21"/>
      <c r="L21" s="21"/>
      <c r="M21" s="21"/>
      <c r="N21" s="21"/>
      <c r="O21" s="21"/>
      <c r="P21" s="21"/>
      <c r="Q21" s="21"/>
      <c r="R21" s="21"/>
      <c r="S21" s="21"/>
      <c r="T21" s="21"/>
      <c r="U21" s="21"/>
      <c r="V21" s="21"/>
      <c r="W21" s="21"/>
      <c r="X21" s="21"/>
      <c r="Y21" s="21"/>
    </row>
    <row r="22" customFormat="false" ht="33.75" hidden="false" customHeight="true" outlineLevel="0" collapsed="false">
      <c r="C22" s="4" t="s">
        <v>62</v>
      </c>
      <c r="D22" s="5" t="s">
        <v>63</v>
      </c>
      <c r="E22" s="6" t="s">
        <v>64</v>
      </c>
    </row>
    <row r="23" customFormat="false" ht="15" hidden="false" customHeight="false" outlineLevel="0" collapsed="false">
      <c r="C23" s="22" t="s">
        <v>28</v>
      </c>
      <c r="D23" s="23" t="n">
        <f aca="false">COUNTIF(F9:F17,"Expat")</f>
        <v>3</v>
      </c>
      <c r="E23" s="24" t="s">
        <v>65</v>
      </c>
    </row>
    <row r="24" customFormat="false" ht="15" hidden="false" customHeight="false" outlineLevel="0" collapsed="false">
      <c r="C24" s="22" t="s">
        <v>35</v>
      </c>
      <c r="D24" s="23" t="n">
        <f aca="false">COUNTIF(F9:F17,"Repatriate")</f>
        <v>3</v>
      </c>
      <c r="E24" s="24" t="s">
        <v>66</v>
      </c>
    </row>
    <row r="25" customFormat="false" ht="15" hidden="false" customHeight="false" outlineLevel="0" collapsed="false">
      <c r="C25" s="22" t="s">
        <v>48</v>
      </c>
      <c r="D25" s="23" t="n">
        <f aca="false">COUNTIF(F9:F17,"Local")</f>
        <v>3</v>
      </c>
      <c r="E25" s="24" t="s">
        <v>67</v>
      </c>
    </row>
    <row r="26" customFormat="false" ht="15" hidden="false" customHeight="false" outlineLevel="0" collapsed="false">
      <c r="C26" s="22" t="s">
        <v>29</v>
      </c>
      <c r="D26" s="23" t="n">
        <f aca="false">COUNTIF(H9:H17,"Fixed")</f>
        <v>8</v>
      </c>
      <c r="E26" s="24" t="s">
        <v>68</v>
      </c>
    </row>
    <row r="27" customFormat="false" ht="15" hidden="false" customHeight="false" outlineLevel="0" collapsed="false">
      <c r="C27" s="22" t="s">
        <v>53</v>
      </c>
      <c r="D27" s="23" t="n">
        <f aca="false">COUNTIF(H9:H17,"Rotation")</f>
        <v>1</v>
      </c>
      <c r="E27" s="24" t="s">
        <v>69</v>
      </c>
    </row>
    <row r="28" customFormat="false" ht="15" hidden="false" customHeight="false" outlineLevel="0" collapsed="false">
      <c r="C28" s="22" t="s">
        <v>70</v>
      </c>
      <c r="D28" s="23" t="n">
        <f aca="false">COUNTIF(J9:J17,"Eligible*")</f>
        <v>3</v>
      </c>
      <c r="E28" s="24" t="s">
        <v>71</v>
      </c>
    </row>
    <row r="29" customFormat="false" ht="15" hidden="false" customHeight="false" outlineLevel="0" collapsed="false">
      <c r="C29" s="22" t="s">
        <v>72</v>
      </c>
      <c r="D29" s="23" t="n">
        <f aca="false">COUNTIF(K9:K17,"Assumption")</f>
        <v>2</v>
      </c>
      <c r="E29" s="24" t="s">
        <v>73</v>
      </c>
    </row>
  </sheetData>
  <mergeCells count="5">
    <mergeCell ref="C3:Y3"/>
    <mergeCell ref="C5:Y5"/>
    <mergeCell ref="C6:Y6"/>
    <mergeCell ref="C18:L18"/>
    <mergeCell ref="C21:Y21"/>
  </mergeCells>
  <conditionalFormatting sqref="K9:K17">
    <cfRule type="expression" priority="2" aboveAverage="0" equalAverage="0" bottom="0" percent="0" rank="0" text="" dxfId="0">
      <formula>K9="Assumption"</formula>
    </cfRule>
  </conditionalFormatting>
  <dataValidations count="3">
    <dataValidation allowBlank="false" errorStyle="stop" operator="between" showDropDown="false" showErrorMessage="false" showInputMessage="false" sqref="F9:F17" type="list">
      <formula1>"Expat,Repatriate,Local"</formula1>
      <formula2>0</formula2>
    </dataValidation>
    <dataValidation allowBlank="false" errorStyle="stop" operator="between" showDropDown="false" showErrorMessage="false" showInputMessage="false" sqref="H9:H17" type="list">
      <formula1>"Fixed,Rotation"</formula1>
      <formula2>0</formula2>
    </dataValidation>
    <dataValidation allowBlank="false" errorStyle="stop" operator="between" showDropDown="false" showErrorMessage="false" showInputMessage="false" sqref="K9:K17" type="list">
      <formula1>"Confirmed,Assumption"</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Personnel | Page &amp;P of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M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11" min="3" style="0" width="29"/>
    <col collapsed="false" customWidth="true" hidden="false" outlineLevel="0" max="12" min="12" style="0" width="31"/>
    <col collapsed="false" customWidth="true" hidden="false" outlineLevel="0" max="13" min="13" style="0" width="14"/>
  </cols>
  <sheetData>
    <row r="3" customFormat="false" ht="24.75" hidden="false" customHeight="true" outlineLevel="0" collapsed="false">
      <c r="C3" s="1" t="s">
        <v>74</v>
      </c>
      <c r="D3" s="1"/>
      <c r="E3" s="1"/>
      <c r="F3" s="1"/>
      <c r="G3" s="1"/>
      <c r="H3" s="1"/>
      <c r="I3" s="1"/>
      <c r="J3" s="1"/>
      <c r="K3" s="1"/>
      <c r="L3" s="1"/>
      <c r="M3" s="1"/>
    </row>
    <row r="5" customFormat="false" ht="15" hidden="false" customHeight="false" outlineLevel="0" collapsed="false">
      <c r="C5" s="2" t="s">
        <v>75</v>
      </c>
      <c r="D5" s="2"/>
      <c r="E5" s="2"/>
      <c r="F5" s="2"/>
      <c r="G5" s="2"/>
      <c r="H5" s="2"/>
      <c r="I5" s="2"/>
      <c r="J5" s="2"/>
      <c r="K5" s="2"/>
      <c r="L5" s="2"/>
      <c r="M5" s="2"/>
    </row>
    <row r="6" customFormat="false" ht="15" hidden="false" customHeight="false" outlineLevel="0" collapsed="false">
      <c r="C6" s="3" t="s">
        <v>76</v>
      </c>
      <c r="D6" s="3"/>
      <c r="E6" s="3"/>
      <c r="F6" s="3"/>
      <c r="G6" s="3"/>
      <c r="H6" s="3"/>
      <c r="I6" s="3"/>
      <c r="J6" s="3"/>
      <c r="K6" s="3"/>
      <c r="L6" s="3"/>
      <c r="M6" s="3"/>
    </row>
    <row r="8" customFormat="false" ht="33.75" hidden="false" customHeight="true" outlineLevel="0" collapsed="false">
      <c r="C8" s="4" t="s">
        <v>6</v>
      </c>
      <c r="D8" s="5" t="s">
        <v>77</v>
      </c>
      <c r="E8" s="5" t="s">
        <v>9</v>
      </c>
      <c r="F8" s="5" t="s">
        <v>78</v>
      </c>
      <c r="G8" s="5" t="s">
        <v>79</v>
      </c>
      <c r="H8" s="5" t="s">
        <v>80</v>
      </c>
      <c r="I8" s="5" t="s">
        <v>81</v>
      </c>
      <c r="J8" s="5" t="s">
        <v>10</v>
      </c>
      <c r="K8" s="5" t="s">
        <v>82</v>
      </c>
      <c r="L8" s="5" t="s">
        <v>83</v>
      </c>
      <c r="M8" s="6" t="s">
        <v>84</v>
      </c>
    </row>
    <row r="9" customFormat="false" ht="75" hidden="false" customHeight="true" outlineLevel="0" collapsed="false">
      <c r="C9" s="25" t="s">
        <v>28</v>
      </c>
      <c r="D9" s="8" t="s">
        <v>85</v>
      </c>
      <c r="E9" s="8" t="s">
        <v>86</v>
      </c>
      <c r="F9" s="8" t="s">
        <v>87</v>
      </c>
      <c r="G9" s="8" t="s">
        <v>88</v>
      </c>
      <c r="H9" s="8" t="s">
        <v>89</v>
      </c>
      <c r="I9" s="8" t="s">
        <v>90</v>
      </c>
      <c r="J9" s="8" t="s">
        <v>30</v>
      </c>
      <c r="K9" s="8" t="s">
        <v>91</v>
      </c>
      <c r="L9" s="8" t="s">
        <v>92</v>
      </c>
      <c r="M9" s="26" t="n">
        <f aca="false">COUNTIF(Personnel!F9:F17,C9)</f>
        <v>3</v>
      </c>
    </row>
    <row r="10" customFormat="false" ht="75" hidden="false" customHeight="true" outlineLevel="0" collapsed="false">
      <c r="C10" s="25" t="s">
        <v>35</v>
      </c>
      <c r="D10" s="8" t="s">
        <v>85</v>
      </c>
      <c r="E10" s="8" t="s">
        <v>93</v>
      </c>
      <c r="F10" s="8" t="s">
        <v>94</v>
      </c>
      <c r="G10" s="8" t="s">
        <v>95</v>
      </c>
      <c r="H10" s="8" t="s">
        <v>96</v>
      </c>
      <c r="I10" s="8" t="s">
        <v>97</v>
      </c>
      <c r="J10" s="8" t="s">
        <v>98</v>
      </c>
      <c r="K10" s="8" t="s">
        <v>99</v>
      </c>
      <c r="L10" s="8" t="s">
        <v>100</v>
      </c>
      <c r="M10" s="26" t="n">
        <f aca="false">COUNTIF(Personnel!F9:F17,C10)</f>
        <v>3</v>
      </c>
    </row>
    <row r="11" customFormat="false" ht="75" hidden="false" customHeight="true" outlineLevel="0" collapsed="false">
      <c r="C11" s="25" t="s">
        <v>48</v>
      </c>
      <c r="D11" s="8" t="s">
        <v>85</v>
      </c>
      <c r="E11" s="8" t="s">
        <v>101</v>
      </c>
      <c r="F11" s="8" t="s">
        <v>94</v>
      </c>
      <c r="G11" s="8" t="s">
        <v>102</v>
      </c>
      <c r="H11" s="8" t="s">
        <v>96</v>
      </c>
      <c r="I11" s="8" t="s">
        <v>103</v>
      </c>
      <c r="J11" s="8" t="s">
        <v>30</v>
      </c>
      <c r="K11" s="8" t="s">
        <v>91</v>
      </c>
      <c r="L11" s="8" t="s">
        <v>104</v>
      </c>
      <c r="M11" s="26" t="n">
        <f aca="false">COUNTIF(Personnel!F9:F17,C11)</f>
        <v>3</v>
      </c>
    </row>
    <row r="14" customFormat="false" ht="15" hidden="false" customHeight="false" outlineLevel="0" collapsed="false">
      <c r="C14" s="21" t="s">
        <v>105</v>
      </c>
      <c r="D14" s="21"/>
      <c r="E14" s="21"/>
      <c r="F14" s="21"/>
      <c r="G14" s="21"/>
      <c r="H14" s="21"/>
      <c r="I14" s="21"/>
      <c r="J14" s="21"/>
      <c r="K14" s="21"/>
      <c r="L14" s="21"/>
      <c r="M14" s="21"/>
    </row>
    <row r="15" customFormat="false" ht="33.75" hidden="false" customHeight="true" outlineLevel="0" collapsed="false">
      <c r="C15" s="4" t="s">
        <v>8</v>
      </c>
      <c r="D15" s="5" t="s">
        <v>106</v>
      </c>
      <c r="E15" s="5" t="s">
        <v>107</v>
      </c>
      <c r="F15" s="5" t="s">
        <v>108</v>
      </c>
      <c r="G15" s="5" t="s">
        <v>109</v>
      </c>
      <c r="H15" s="5" t="s">
        <v>12</v>
      </c>
      <c r="I15" s="6" t="s">
        <v>84</v>
      </c>
    </row>
    <row r="16" customFormat="false" ht="57.75" hidden="false" customHeight="true" outlineLevel="0" collapsed="false">
      <c r="C16" s="25" t="s">
        <v>29</v>
      </c>
      <c r="D16" s="8" t="s">
        <v>110</v>
      </c>
      <c r="E16" s="8" t="s">
        <v>85</v>
      </c>
      <c r="F16" s="8" t="s">
        <v>111</v>
      </c>
      <c r="G16" s="8" t="s">
        <v>112</v>
      </c>
      <c r="H16" s="8" t="s">
        <v>113</v>
      </c>
      <c r="I16" s="26" t="n">
        <f aca="false">COUNTIF(Personnel!H9:H17,C16)</f>
        <v>8</v>
      </c>
    </row>
    <row r="17" customFormat="false" ht="57.75" hidden="false" customHeight="true" outlineLevel="0" collapsed="false">
      <c r="C17" s="25" t="s">
        <v>53</v>
      </c>
      <c r="D17" s="8" t="s">
        <v>114</v>
      </c>
      <c r="E17" s="8" t="s">
        <v>85</v>
      </c>
      <c r="F17" s="8" t="s">
        <v>115</v>
      </c>
      <c r="G17" s="8" t="s">
        <v>116</v>
      </c>
      <c r="H17" s="8" t="s">
        <v>117</v>
      </c>
      <c r="I17" s="26" t="n">
        <f aca="false">COUNTIF(Personnel!H9:H17,C17)</f>
        <v>1</v>
      </c>
    </row>
    <row r="20" customFormat="false" ht="15" hidden="false" customHeight="true" outlineLevel="0" collapsed="false">
      <c r="C20" s="27" t="s">
        <v>118</v>
      </c>
      <c r="D20" s="27"/>
      <c r="E20" s="27"/>
      <c r="F20" s="27"/>
      <c r="G20" s="27"/>
      <c r="H20" s="27"/>
      <c r="I20" s="27"/>
      <c r="J20" s="27"/>
      <c r="K20" s="27"/>
      <c r="L20" s="27"/>
      <c r="M20" s="27"/>
    </row>
    <row r="21" customFormat="false" ht="15" hidden="false" customHeight="false" outlineLevel="0" collapsed="false">
      <c r="C21" s="27"/>
      <c r="D21" s="27"/>
      <c r="E21" s="27"/>
      <c r="F21" s="27"/>
      <c r="G21" s="27"/>
      <c r="H21" s="27"/>
      <c r="I21" s="27"/>
      <c r="J21" s="27"/>
      <c r="K21" s="27"/>
      <c r="L21" s="27"/>
      <c r="M21" s="27"/>
    </row>
    <row r="22" customFormat="false" ht="15" hidden="false" customHeight="false" outlineLevel="0" collapsed="false">
      <c r="C22" s="27"/>
      <c r="D22" s="27"/>
      <c r="E22" s="27"/>
      <c r="F22" s="27"/>
      <c r="G22" s="27"/>
      <c r="H22" s="27"/>
      <c r="I22" s="27"/>
      <c r="J22" s="27"/>
      <c r="K22" s="27"/>
      <c r="L22" s="27"/>
      <c r="M22" s="27"/>
    </row>
    <row r="23" customFormat="false" ht="15" hidden="false" customHeight="false" outlineLevel="0" collapsed="false">
      <c r="C23" s="27"/>
      <c r="D23" s="27"/>
      <c r="E23" s="27"/>
      <c r="F23" s="27"/>
      <c r="G23" s="27"/>
      <c r="H23" s="27"/>
      <c r="I23" s="27"/>
      <c r="J23" s="27"/>
      <c r="K23" s="27"/>
      <c r="L23" s="27"/>
      <c r="M23" s="27"/>
    </row>
  </sheetData>
  <mergeCells count="5">
    <mergeCell ref="C3:M3"/>
    <mergeCell ref="C5:M5"/>
    <mergeCell ref="C6:M6"/>
    <mergeCell ref="C14:M14"/>
    <mergeCell ref="C20:M23"/>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Contract Rules | Page &amp;P of &amp;N</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2026-09-07T19:38:42Z</dcterms:created>
  <dc:creator>openpyxl</dc:creator>
  <dc:description/>
  <dc:language>en-US</dc:language>
  <cp:lastModifiedBy/>
  <dcterms:modified xsi:type="dcterms:W3CDTF">2026-09-07T19:38:42Z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