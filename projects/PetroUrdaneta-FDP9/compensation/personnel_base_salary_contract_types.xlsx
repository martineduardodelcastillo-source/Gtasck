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Contract Rules" sheetId="2" state="visible" r:id="rId4"/>
  </sheets>
  <definedNames>
    <definedName function="false" hidden="false" localSheetId="1" name="_xlnm.Print_Area" vbProcedure="false">'Contract Rules'!$B$2:$K$22</definedName>
    <definedName function="false" hidden="false" localSheetId="0" name="_xlnm.Print_Area" vbProcedure="false">Personnel!$B$2:$L$28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7"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7"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7" authorId="0">
      <text>
        <r>
          <rPr>
            <sz val="10"/>
            <rFont val="Arial"/>
            <family val="2"/>
          </rPr>
          <t xml:space="preserve">Source: management instructions in this task, through 7 September 2026.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7"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7"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Expat classification carried forward from prior instructions.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0" authorId="0">
      <text>
        <r>
          <rPr>
            <sz val="10"/>
            <rFont val="Arial"/>
            <family val="2"/>
          </rPr>
          <t xml:space="preserve">Source: management instructions in this task, through 7 September 2026. Repatriate; employee assumes personal Venezuelan income tax from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1" authorId="0">
      <text>
        <r>
          <rPr>
            <sz val="10"/>
            <rFont val="Arial"/>
            <family val="2"/>
          </rPr>
          <t xml:space="preserve">Source: management instructions in this task, through 7 September 2026. Repatriate; initially appointed General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2" authorId="0">
      <text>
        <r>
          <rPr>
            <sz val="10"/>
            <rFont val="Arial"/>
            <family val="2"/>
          </rPr>
          <t xml:space="preserve">Source: management instructions in this task, through 7 September 2026. Same contract family as Juan Conde.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L13" authorId="0">
      <text>
        <r>
          <rPr>
            <sz val="10"/>
            <rFont val="Arial"/>
            <family val="2"/>
          </rPr>
          <t xml:space="preserve">Source: management instructions in this task, through 7 September 2026. Expat; initially appointed Technical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4" authorId="0">
      <text>
        <r>
          <rPr>
            <sz val="10"/>
            <rFont val="Arial"/>
            <family val="2"/>
          </rPr>
          <t xml:space="preserve">Source: management instructions in this task, through 7 September 2026. Remote role. Local contract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5"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7"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9" authorId="0">
      <text>
        <r>
          <rPr>
            <sz val="10"/>
            <rFont val="Arial"/>
            <family val="2"/>
          </rPr>
          <t xml:space="preserve">Source: management instructions in this task, through 7 September 2026. Default contract rule: Company-provided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E10" authorId="0">
      <text>
        <r>
          <rPr>
            <sz val="10"/>
            <rFont val="Arial"/>
            <family val="2"/>
          </rPr>
          <t xml:space="preserve">Source: management instructions in this task, through 7 September 2026. Default contract rule: Company-provided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E11" authorId="0">
      <text>
        <r>
          <rPr>
            <sz val="10"/>
            <rFont val="Arial"/>
            <family val="2"/>
          </rPr>
          <t xml:space="preserve">Source: management instructions in this task, through 7 September 2026. Default contract rule: Medical insurance according to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Housing / allowance according to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0" authorId="0">
      <text>
        <r>
          <rPr>
            <sz val="10"/>
            <rFont val="Arial"/>
            <family val="2"/>
          </rPr>
          <t xml:space="preserve">Source: management instructions in this task, through 7 September 2026. Default contract rule: Depends on city: allowance, staff house, hotel or no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1" authorId="0">
      <text>
        <r>
          <rPr>
            <sz val="10"/>
            <rFont val="Arial"/>
            <family val="2"/>
          </rPr>
          <t xml:space="preserve">Source: management instructions in this task, through 7 September 2026. Default contract rule: Local residence or staff house; no cash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6" authorId="0">
      <text>
        <r>
          <rPr>
            <sz val="10"/>
            <rFont val="Arial"/>
            <family val="2"/>
          </rPr>
          <t xml:space="preserve">Source: management instructions in this task, through 7 September 2026. Default work-arrangement rule: According to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Rotation travel schedule replaces or supplements standard home leave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9" authorId="0">
      <text>
        <r>
          <rPr>
            <sz val="10"/>
            <rFont val="Arial"/>
            <family val="2"/>
          </rPr>
          <t xml:space="preserve">Source: management instructions in this task, through 7 September 2026. Default contract rule: Company covers or equalizes work-country tax</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0" authorId="0">
      <text>
        <r>
          <rPr>
            <sz val="10"/>
            <rFont val="Arial"/>
            <family val="2"/>
          </rPr>
          <t xml:space="preserve">Source: management instructions in this task, through 7 September 2026. Default contract rule: Employee assumes personal Venezuelan income tax</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Employee assumes personal Venezuelan income tax</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Default contract rule: Home leave and company transport; other benefits by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0" authorId="0">
      <text>
        <r>
          <rPr>
            <sz val="10"/>
            <rFont val="Arial"/>
            <family val="2"/>
          </rPr>
          <t xml:space="preserve">Source: management instructions in this task, through 7 September 2026. Default contract rule: Company transport; bonus, stock options and vacation only when individually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Default contract rule: Company transport according to role; no international home leave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I10"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I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J9" authorId="0">
      <text>
        <r>
          <rPr>
            <sz val="10"/>
            <rFont val="Arial"/>
            <family val="2"/>
          </rPr>
          <t xml:space="preserve">Source: management instructions in this task, through 7 September 2026. Default contract rule: Fixed and Rotation arrangements may have different housing and travel mechanics.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10" authorId="0">
      <text>
        <r>
          <rPr>
            <sz val="10"/>
            <rFont val="Arial"/>
            <family val="2"/>
          </rPr>
          <t xml:space="preserve">Source: management instructions in this task, through 7 September 2026. Default contract rule: Juan, Alexander and Félix have individual terms that should be documented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1" authorId="0">
      <text>
        <r>
          <rPr>
            <sz val="10"/>
            <rFont val="Arial"/>
            <family val="2"/>
          </rPr>
          <t xml:space="preserve">Source: management instructions in this task, through 7 September 2026. Default contract rule: Jose Miguel and Operations Support are assumed Local / staff house in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sharedStrings.xml><?xml version="1.0" encoding="utf-8"?>
<sst xmlns="http://schemas.openxmlformats.org/spreadsheetml/2006/main" count="138" uniqueCount="96">
  <si>
    <t xml:space="preserve">Personnel — Base Salary and Contract Classification</t>
  </si>
  <si>
    <t xml:space="preserve">Three contract types: Expat, Repatriate and Local | Work arrangement shown separately as Fixed or Rotation</t>
  </si>
  <si>
    <t xml:space="preserve">USD | Annual base salaries transcribed from the source image | Blue = editable input; black = formula</t>
  </si>
  <si>
    <t xml:space="preserve">#</t>
  </si>
  <si>
    <t xml:space="preserve">Position</t>
  </si>
  <si>
    <t xml:space="preserve">Person</t>
  </si>
  <si>
    <t xml:space="preserve">Base Salary Annual</t>
  </si>
  <si>
    <t xml:space="preserve">Base Salary Monthly</t>
  </si>
  <si>
    <t xml:space="preserve">Contract Type</t>
  </si>
  <si>
    <t xml:space="preserve">Expatriate?</t>
  </si>
  <si>
    <t xml:space="preserve">Work Arrangement</t>
  </si>
  <si>
    <t xml:space="preserve">Classification Status</t>
  </si>
  <si>
    <t xml:space="preserve">Notes</t>
  </si>
  <si>
    <t xml:space="preserve">COO / PU General Manager</t>
  </si>
  <si>
    <t xml:space="preserve">Martin del Castillo</t>
  </si>
  <si>
    <t xml:space="preserve">Expat</t>
  </si>
  <si>
    <t xml:space="preserve">Fixed</t>
  </si>
  <si>
    <t xml:space="preserve">Confirmed</t>
  </si>
  <si>
    <t xml:space="preserve">Expat classification carried forward from prior instructions.</t>
  </si>
  <si>
    <t xml:space="preserve">EPCM &amp; Engineering Manager</t>
  </si>
  <si>
    <t xml:space="preserve">Juan Conde</t>
  </si>
  <si>
    <t xml:space="preserve">Repatriate</t>
  </si>
  <si>
    <t xml:space="preserve">Repatriate; employee assumes personal Venezuelan income tax from M7.</t>
  </si>
  <si>
    <t xml:space="preserve">Drilling &amp; Well Services Manager</t>
  </si>
  <si>
    <t xml:space="preserve">Alexander Stulme</t>
  </si>
  <si>
    <t xml:space="preserve">Repatriate; initially appointed General Manager of PU on secondment.</t>
  </si>
  <si>
    <t xml:space="preserve">Operations &amp; Maintenance Manager</t>
  </si>
  <si>
    <t xml:space="preserve">Félix Valderrama</t>
  </si>
  <si>
    <t xml:space="preserve">Same contract family as Juan Conde.</t>
  </si>
  <si>
    <t xml:space="preserve">Technical Manager (Geosciences)</t>
  </si>
  <si>
    <t xml:space="preserve">Alan McKeon</t>
  </si>
  <si>
    <t xml:space="preserve">Expat; initially appointed Technical Manager of PU on secondment.</t>
  </si>
  <si>
    <t xml:space="preserve">Reservoir Engineer</t>
  </si>
  <si>
    <t xml:space="preserve">JJI</t>
  </si>
  <si>
    <t xml:space="preserve">Local</t>
  </si>
  <si>
    <t xml:space="preserve">Assumption</t>
  </si>
  <si>
    <t xml:space="preserve">Remote role. Local contract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</si>
  <si>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</si>
  <si>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</si>
  <si>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</si>
  <si>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</si>
  <si>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</si>
  <si>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</si>
  <si>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</si>
  <si>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</si>
  <si>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Leticia Almeida</t>
  </si>
  <si>
    <t xml:space="preserve">TOTAL — 9 PEOPLE</t>
  </si>
  <si>
    <t xml:space="preserve">CLASSIFICATION SUMMARY</t>
  </si>
  <si>
    <t xml:space="preserve">Metric</t>
  </si>
  <si>
    <t xml:space="preserve">Count</t>
  </si>
  <si>
    <t xml:space="preserve">Meaning</t>
  </si>
  <si>
    <t xml:space="preserve">Contract type Expat</t>
  </si>
  <si>
    <t xml:space="preserve">Contract type Repatriate</t>
  </si>
  <si>
    <t xml:space="preserve">Contract type Local</t>
  </si>
  <si>
    <t xml:space="preserve">Fixed work arrangement</t>
  </si>
  <si>
    <t xml:space="preserve">Rotation work arrangement</t>
  </si>
  <si>
    <t xml:space="preserve">Assumptions to confirm</t>
  </si>
  <si>
    <t xml:space="preserve">Editable classifications requiring confirmation</t>
  </si>
  <si>
    <t xml:space="preserve">Contract Benefit Rules by Stage</t>
  </si>
  <si>
    <t xml:space="preserve">Default policy view — individual packages may override these rules</t>
  </si>
  <si>
    <t xml:space="preserve">M1–M6 and M7+ | Text rules are editable assumptions, not legal or tax advice</t>
  </si>
  <si>
    <t xml:space="preserve">M1–M6 Benefits</t>
  </si>
  <si>
    <t xml:space="preserve">M7+ Medical</t>
  </si>
  <si>
    <t xml:space="preserve">M7+ Housing</t>
  </si>
  <si>
    <t xml:space="preserve">M7+ Tax Treatment</t>
  </si>
  <si>
    <t xml:space="preserve">M7+ Other Benefits</t>
  </si>
  <si>
    <t xml:space="preserve">Default Status</t>
  </si>
  <si>
    <t xml:space="preserve">People Count</t>
  </si>
  <si>
    <t xml:space="preserve">Medical insurance only</t>
  </si>
  <si>
    <t xml:space="preserve">Company-provided medical insurance</t>
  </si>
  <si>
    <t xml:space="preserve">Housing / allowance according to approved package</t>
  </si>
  <si>
    <t xml:space="preserve">Company covers or equalizes work-country tax</t>
  </si>
  <si>
    <t xml:space="preserve">Home leave and company transport; other benefits by approved package</t>
  </si>
  <si>
    <t xml:space="preserve">Provisional</t>
  </si>
  <si>
    <t xml:space="preserve">Fixed and Rotation arrangements may have different housing and travel mechanics.</t>
  </si>
  <si>
    <t xml:space="preserve">Depends on city: allowance, staff house, hotel or no housing</t>
  </si>
  <si>
    <t xml:space="preserve">Employee assumes personal Venezuelan income tax</t>
  </si>
  <si>
    <t xml:space="preserve">Company transport; bonus, stock options and vacation only when individually approved</t>
  </si>
  <si>
    <t xml:space="preserve">Juan, Alexander and Félix have individual terms that should be documented separately.</t>
  </si>
  <si>
    <t xml:space="preserve">Medical insurance according to local package</t>
  </si>
  <si>
    <t xml:space="preserve">Local residence or staff house; no cash allowance by default</t>
  </si>
  <si>
    <t xml:space="preserve">Company transport according to role; no international home leave by default</t>
  </si>
  <si>
    <t xml:space="preserve">Jose Miguel and Operations Support are assumed Local / staff house in Maracaibo.</t>
  </si>
  <si>
    <t xml:space="preserve">WORK ARRANGEMENT RULES</t>
  </si>
  <si>
    <t xml:space="preserve">Application</t>
  </si>
  <si>
    <t xml:space="preserve">Housing / Lodging</t>
  </si>
  <si>
    <t xml:space="preserve">Travel / Home Leave</t>
  </si>
  <si>
    <t xml:space="preserve">Continuous assignment to the role</t>
  </si>
  <si>
    <t xml:space="preserve">Based on contract type, city and approved package</t>
  </si>
  <si>
    <t xml:space="preserve">According to contract type</t>
  </si>
  <si>
    <t xml:space="preserve">JJI is Fixed but Remote; Remote is noted separately.</t>
  </si>
  <si>
    <t xml:space="preserve">Roster-based presence in Venezuela</t>
  </si>
  <si>
    <t xml:space="preserve">Hotel, staff house or rotational lodging; avoid duplicate permanent housing</t>
  </si>
  <si>
    <t xml:space="preserve">Rotation travel schedule replaces or supplements standard home leave</t>
  </si>
  <si>
    <t xml:space="preserve">Marcelo Dantas is currently shown as Rotation.</t>
  </si>
  <si>
    <t xml:space="preserve">Important: M1–M6 is modeled as the initial stage with base salary plus medical insurance only. From M7, benefits change according to contract type and work arrangement. Tax, immigration, employment status, housing and benefits must be confirmed by Venezuelan legal, tax and HR advisers before implementation.</t>
  </si>
</sst>
</file>

<file path=xl/styles.xml><?xml version="1.0" encoding="utf-8"?>
<styleSheet xmlns="http://schemas.openxmlformats.org/spreadsheetml/2006/main">
  <numFmts count="4">
    <numFmt numFmtId="164" formatCode="General"/>
    <numFmt numFmtId="165" formatCode="\$#,##0.0;[RED]&quot;($&quot;#,##0.0\);\-"/>
    <numFmt numFmtId="166" formatCode="#,##0.0;[RED]\(#,##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4">
    <fill>
      <patternFill patternType="none"/>
    </fill>
    <fill>
      <patternFill patternType="gray125"/>
    </fill>
    <fill>
      <patternFill patternType="solid">
        <fgColor rgb="FF135B44"/>
        <bgColor rgb="FF333333"/>
      </patternFill>
    </fill>
    <fill>
      <patternFill patternType="solid">
        <fgColor rgb="FFCFE9E0"/>
        <bgColor rgb="FFCC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5" fontId="8" fillId="0" borderId="2" xfId="0" applyFont="true" applyBorder="true" applyAlignment="true" applyProtection="false">
      <alignment horizontal="right" vertical="center"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left" vertical="center" textRotation="0" wrapText="true" indent="0"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4" fontId="0" fillId="0" borderId="4" xfId="0" applyFont="fals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7" fontId="11" fillId="0" borderId="3"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L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5"/>
    <col collapsed="false" customWidth="true" hidden="false" outlineLevel="0" max="5" min="4" style="0" width="38"/>
    <col collapsed="false" customWidth="true" hidden="false" outlineLevel="0" max="6" min="6" style="0" width="21"/>
    <col collapsed="false" customWidth="true" hidden="false" outlineLevel="0" max="7" min="7" style="0" width="22"/>
    <col collapsed="false" customWidth="true" hidden="false" outlineLevel="0" max="8" min="8" style="0" width="16"/>
    <col collapsed="false" customWidth="true" hidden="false" outlineLevel="0" max="9" min="9" style="0" width="30"/>
    <col collapsed="false" customWidth="true" hidden="false" outlineLevel="0" max="10" min="10" style="0" width="19"/>
    <col collapsed="false" customWidth="true" hidden="false" outlineLevel="0" max="11" min="11" style="0" width="24"/>
    <col collapsed="false" customWidth="true" hidden="false" outlineLevel="0" max="12" min="12" style="0" width="38"/>
  </cols>
  <sheetData>
    <row r="3" customFormat="false" ht="24.75" hidden="false" customHeight="true" outlineLevel="0" collapsed="false">
      <c r="C3" s="1" t="s">
        <v>0</v>
      </c>
      <c r="D3" s="1"/>
      <c r="E3" s="1"/>
      <c r="F3" s="1"/>
      <c r="G3" s="1"/>
      <c r="H3" s="1"/>
      <c r="I3" s="1"/>
      <c r="J3" s="1"/>
      <c r="K3" s="1"/>
      <c r="L3" s="1"/>
    </row>
    <row r="5" customFormat="false" ht="15" hidden="false" customHeight="false" outlineLevel="0" collapsed="false">
      <c r="C5" s="2" t="s">
        <v>1</v>
      </c>
      <c r="D5" s="2"/>
      <c r="E5" s="2"/>
      <c r="F5" s="2"/>
      <c r="G5" s="2"/>
      <c r="H5" s="2"/>
      <c r="I5" s="2"/>
      <c r="J5" s="2"/>
      <c r="K5" s="2"/>
      <c r="L5" s="2"/>
    </row>
    <row r="6" customFormat="false" ht="15" hidden="false" customHeight="false" outlineLevel="0" collapsed="false">
      <c r="C6" s="3" t="s">
        <v>2</v>
      </c>
      <c r="D6" s="3"/>
      <c r="E6" s="3"/>
      <c r="F6" s="3"/>
      <c r="G6" s="3"/>
      <c r="H6" s="3"/>
      <c r="I6" s="3"/>
      <c r="J6" s="3"/>
      <c r="K6" s="3"/>
      <c r="L6" s="3"/>
    </row>
    <row r="8" customFormat="false" ht="31.5" hidden="false" customHeight="true" outlineLevel="0" collapsed="false">
      <c r="C8" s="4" t="s">
        <v>3</v>
      </c>
      <c r="D8" s="5" t="s">
        <v>4</v>
      </c>
      <c r="E8" s="5" t="s">
        <v>5</v>
      </c>
      <c r="F8" s="5" t="s">
        <v>6</v>
      </c>
      <c r="G8" s="5" t="s">
        <v>7</v>
      </c>
      <c r="H8" s="5" t="s">
        <v>8</v>
      </c>
      <c r="I8" s="5" t="s">
        <v>9</v>
      </c>
      <c r="J8" s="5" t="s">
        <v>10</v>
      </c>
      <c r="K8" s="5" t="s">
        <v>11</v>
      </c>
      <c r="L8" s="6" t="s">
        <v>12</v>
      </c>
    </row>
    <row r="9" customFormat="false" ht="30" hidden="false" customHeight="true" outlineLevel="0" collapsed="false">
      <c r="C9" s="7" t="n">
        <v>1</v>
      </c>
      <c r="D9" s="8" t="s">
        <v>13</v>
      </c>
      <c r="E9" s="9" t="s">
        <v>14</v>
      </c>
      <c r="F9" s="10" t="n">
        <v>360000</v>
      </c>
      <c r="G9" s="11" t="n">
        <f aca="false">F9/12</f>
        <v>30000</v>
      </c>
      <c r="H9" s="12" t="s">
        <v>15</v>
      </c>
      <c r="I9" s="13" t="str">
        <f aca="false">IF(H9="Expat","Yes","No")</f>
        <v>Yes</v>
      </c>
      <c r="J9" s="12" t="s">
        <v>16</v>
      </c>
      <c r="K9" s="12" t="s">
        <v>17</v>
      </c>
      <c r="L9" s="14" t="s">
        <v>18</v>
      </c>
    </row>
    <row r="10" customFormat="false" ht="30" hidden="false" customHeight="true" outlineLevel="0" collapsed="false">
      <c r="C10" s="7" t="n">
        <v>2</v>
      </c>
      <c r="D10" s="8" t="s">
        <v>19</v>
      </c>
      <c r="E10" s="9" t="s">
        <v>20</v>
      </c>
      <c r="F10" s="15" t="n">
        <v>216000</v>
      </c>
      <c r="G10" s="16" t="n">
        <f aca="false">F10/12</f>
        <v>18000</v>
      </c>
      <c r="H10" s="12" t="s">
        <v>21</v>
      </c>
      <c r="I10" s="13" t="str">
        <f aca="false">IF(H10="Expat","Yes","No")</f>
        <v>No</v>
      </c>
      <c r="J10" s="12" t="s">
        <v>16</v>
      </c>
      <c r="K10" s="12" t="s">
        <v>17</v>
      </c>
      <c r="L10" s="14" t="s">
        <v>22</v>
      </c>
    </row>
    <row r="11" customFormat="false" ht="30" hidden="false" customHeight="true" outlineLevel="0" collapsed="false">
      <c r="C11" s="7" t="n">
        <v>3</v>
      </c>
      <c r="D11" s="8" t="s">
        <v>23</v>
      </c>
      <c r="E11" s="9" t="s">
        <v>24</v>
      </c>
      <c r="F11" s="15" t="n">
        <v>180000</v>
      </c>
      <c r="G11" s="16" t="n">
        <f aca="false">F11/12</f>
        <v>15000</v>
      </c>
      <c r="H11" s="12" t="s">
        <v>21</v>
      </c>
      <c r="I11" s="13" t="str">
        <f aca="false">IF(H11="Expat","Yes","No")</f>
        <v>No</v>
      </c>
      <c r="J11" s="12" t="s">
        <v>16</v>
      </c>
      <c r="K11" s="12" t="s">
        <v>17</v>
      </c>
      <c r="L11" s="14" t="s">
        <v>25</v>
      </c>
    </row>
    <row r="12" customFormat="false" ht="30" hidden="false" customHeight="true" outlineLevel="0" collapsed="false">
      <c r="C12" s="7" t="n">
        <v>4</v>
      </c>
      <c r="D12" s="8" t="s">
        <v>26</v>
      </c>
      <c r="E12" s="9" t="s">
        <v>27</v>
      </c>
      <c r="F12" s="15" t="n">
        <v>216000</v>
      </c>
      <c r="G12" s="16" t="n">
        <f aca="false">F12/12</f>
        <v>18000</v>
      </c>
      <c r="H12" s="12" t="s">
        <v>21</v>
      </c>
      <c r="I12" s="13" t="str">
        <f aca="false">IF(H12="Expat","Yes","No")</f>
        <v>No</v>
      </c>
      <c r="J12" s="12" t="s">
        <v>16</v>
      </c>
      <c r="K12" s="12" t="s">
        <v>17</v>
      </c>
      <c r="L12" s="14" t="s">
        <v>28</v>
      </c>
    </row>
    <row r="13" customFormat="false" ht="30" hidden="false" customHeight="true" outlineLevel="0" collapsed="false">
      <c r="C13" s="7" t="n">
        <v>5</v>
      </c>
      <c r="D13" s="8" t="s">
        <v>29</v>
      </c>
      <c r="E13" s="9" t="s">
        <v>30</v>
      </c>
      <c r="F13" s="15" t="n">
        <v>180000</v>
      </c>
      <c r="G13" s="16" t="n">
        <f aca="false">F13/12</f>
        <v>15000</v>
      </c>
      <c r="H13" s="12" t="s">
        <v>15</v>
      </c>
      <c r="I13" s="13" t="str">
        <f aca="false">IF(H13="Expat","Yes","No")</f>
        <v>Yes</v>
      </c>
      <c r="J13" s="12" t="s">
        <v>16</v>
      </c>
      <c r="K13" s="12" t="s">
        <v>17</v>
      </c>
      <c r="L13" s="14" t="s">
        <v>31</v>
      </c>
    </row>
    <row r="14" customFormat="false" ht="30" hidden="false" customHeight="true" outlineLevel="0" collapsed="false">
      <c r="C14" s="7" t="n">
        <v>6</v>
      </c>
      <c r="D14" s="8" t="s">
        <v>32</v>
      </c>
      <c r="E14" s="9" t="s">
        <v>33</v>
      </c>
      <c r="F14" s="15" t="n">
        <v>120000</v>
      </c>
      <c r="G14" s="16" t="n">
        <f aca="false">F14/12</f>
        <v>10000</v>
      </c>
      <c r="H14" s="12" t="s">
        <v>34</v>
      </c>
      <c r="I14" s="13" t="str">
        <f aca="false">IF(H14="Expat","Yes","No")</f>
        <v>No</v>
      </c>
      <c r="J14" s="12" t="s">
        <v>16</v>
      </c>
      <c r="K14" s="12" t="s">
        <v>35</v>
      </c>
      <c r="L14" s="14" t="s">
        <v>36</v>
      </c>
    </row>
    <row r="15" customFormat="false" ht="30" hidden="false" customHeight="true" outlineLevel="0" collapsed="false">
      <c r="C15" s="7" t="n">
        <v>7</v>
      </c>
      <c r="D15" s="8" t="s">
        <v>37</v>
      </c>
      <c r="E15" s="9" t="s">
        <v>38</v>
      </c>
      <c r="F15" s="15" t="n">
        <v>180000</v>
      </c>
      <c r="G15" s="16" t="n">
        <f aca="false">F15/12</f>
        <v>15000</v>
      </c>
      <c r="H15" s="12" t="s">
        <v>15</v>
      </c>
      <c r="I15" s="13" t="str">
        <f aca="false">IF(H15="Expat","Yes","No")</f>
        <v>Yes</v>
      </c>
      <c r="J15" s="12" t="s">
        <v>39</v>
      </c>
      <c r="K15" s="12" t="s">
        <v>35</v>
      </c>
      <c r="L15" s="14" t="s">
        <v>40</v>
      </c>
    </row>
    <row r="16" customFormat="false" ht="30" hidden="false" customHeight="true" outlineLevel="0" collapsed="false">
      <c r="C16" s="7" t="n">
        <v>8</v>
      </c>
      <c r="D16" s="8" t="s">
        <v>41</v>
      </c>
      <c r="E16" s="9" t="s">
        <v>42</v>
      </c>
      <c r="F16" s="15" t="n">
        <v>48000</v>
      </c>
      <c r="G16" s="16" t="n">
        <f aca="false">F16/12</f>
        <v>4000</v>
      </c>
      <c r="H16" s="12" t="s">
        <v>34</v>
      </c>
      <c r="I16" s="13" t="str">
        <f aca="false">IF(H16="Expat","Yes","No")</f>
        <v>No</v>
      </c>
      <c r="J16" s="12" t="s">
        <v>16</v>
      </c>
      <c r="K16" s="12" t="s">
        <v>17</v>
      </c>
      <c r="L16" s="14" t="s">
        <v>43</v>
      </c>
    </row>
    <row r="17" customFormat="false" ht="30" hidden="false" customHeight="true" outlineLevel="0" collapsed="false">
      <c r="C17" s="7" t="n">
        <v>9</v>
      </c>
      <c r="D17" s="8" t="s">
        <v>44</v>
      </c>
      <c r="E17" s="9" t="s">
        <v>45</v>
      </c>
      <c r="F17" s="15" t="n">
        <v>48000</v>
      </c>
      <c r="G17" s="16" t="n">
        <f aca="false">F17/12</f>
        <v>4000</v>
      </c>
      <c r="H17" s="12" t="s">
        <v>34</v>
      </c>
      <c r="I17" s="13" t="str">
        <f aca="false">IF(H17="Expat","Yes","No")</f>
        <v>No</v>
      </c>
      <c r="J17" s="12" t="s">
        <v>16</v>
      </c>
      <c r="K17" s="12" t="s">
        <v>17</v>
      </c>
      <c r="L17" s="14" t="s">
        <v>43</v>
      </c>
    </row>
    <row r="18" customFormat="false" ht="15" hidden="false" customHeight="false" outlineLevel="0" collapsed="false">
      <c r="C18" s="17" t="s">
        <v>46</v>
      </c>
      <c r="D18" s="17"/>
      <c r="E18" s="17"/>
      <c r="F18" s="18" t="n">
        <f aca="false">SUM(F9:F17)</f>
        <v>1548000</v>
      </c>
      <c r="G18" s="18" t="n">
        <f aca="false">SUM(G9:G17)</f>
        <v>129000</v>
      </c>
      <c r="H18" s="19"/>
      <c r="I18" s="19"/>
      <c r="J18" s="19"/>
      <c r="K18" s="19"/>
      <c r="L18" s="19"/>
    </row>
    <row r="21" customFormat="false" ht="15" hidden="false" customHeight="false" outlineLevel="0" collapsed="false">
      <c r="C21" s="20" t="s">
        <v>47</v>
      </c>
      <c r="D21" s="20"/>
      <c r="E21" s="20"/>
      <c r="F21" s="20"/>
      <c r="G21" s="20"/>
      <c r="H21" s="20"/>
      <c r="I21" s="20"/>
      <c r="J21" s="20"/>
      <c r="K21" s="20"/>
      <c r="L21" s="20"/>
    </row>
    <row r="22" customFormat="false" ht="31.5" hidden="false" customHeight="true" outlineLevel="0" collapsed="false">
      <c r="C22" s="4" t="s">
        <v>48</v>
      </c>
      <c r="D22" s="5" t="s">
        <v>49</v>
      </c>
      <c r="E22" s="6" t="s">
        <v>50</v>
      </c>
    </row>
    <row r="23" customFormat="false" ht="15" hidden="false" customHeight="false" outlineLevel="0" collapsed="false">
      <c r="C23" s="21" t="s">
        <v>15</v>
      </c>
      <c r="D23" s="22" t="n">
        <f aca="false">COUNTIF(H9:H17,"Expat")</f>
        <v>3</v>
      </c>
      <c r="E23" s="23" t="s">
        <v>51</v>
      </c>
    </row>
    <row r="24" customFormat="false" ht="15" hidden="false" customHeight="false" outlineLevel="0" collapsed="false">
      <c r="C24" s="21" t="s">
        <v>21</v>
      </c>
      <c r="D24" s="22" t="n">
        <f aca="false">COUNTIF(H9:H17,"Repatriate")</f>
        <v>3</v>
      </c>
      <c r="E24" s="23" t="s">
        <v>52</v>
      </c>
    </row>
    <row r="25" customFormat="false" ht="15" hidden="false" customHeight="false" outlineLevel="0" collapsed="false">
      <c r="C25" s="21" t="s">
        <v>34</v>
      </c>
      <c r="D25" s="22" t="n">
        <f aca="false">COUNTIF(H9:H17,"Local")</f>
        <v>3</v>
      </c>
      <c r="E25" s="23" t="s">
        <v>53</v>
      </c>
    </row>
    <row r="26" customFormat="false" ht="15" hidden="false" customHeight="false" outlineLevel="0" collapsed="false">
      <c r="C26" s="21" t="s">
        <v>16</v>
      </c>
      <c r="D26" s="22" t="n">
        <f aca="false">COUNTIF(J9:J17,"Fixed")</f>
        <v>8</v>
      </c>
      <c r="E26" s="23" t="s">
        <v>54</v>
      </c>
    </row>
    <row r="27" customFormat="false" ht="15" hidden="false" customHeight="false" outlineLevel="0" collapsed="false">
      <c r="C27" s="21" t="s">
        <v>39</v>
      </c>
      <c r="D27" s="22" t="n">
        <f aca="false">COUNTIF(J9:J17,"Rotation")</f>
        <v>1</v>
      </c>
      <c r="E27" s="23" t="s">
        <v>55</v>
      </c>
    </row>
    <row r="28" customFormat="false" ht="15" hidden="false" customHeight="false" outlineLevel="0" collapsed="false">
      <c r="C28" s="21" t="s">
        <v>56</v>
      </c>
      <c r="D28" s="22" t="n">
        <f aca="false">COUNTIF(K9:K17,"Assumption")</f>
        <v>2</v>
      </c>
      <c r="E28" s="23" t="s">
        <v>57</v>
      </c>
    </row>
  </sheetData>
  <mergeCells count="5">
    <mergeCell ref="C3:L3"/>
    <mergeCell ref="C5:L5"/>
    <mergeCell ref="C6:L6"/>
    <mergeCell ref="C18:E18"/>
    <mergeCell ref="C21:L21"/>
  </mergeCells>
  <conditionalFormatting sqref="K9:K17">
    <cfRule type="expression" priority="2" aboveAverage="0" equalAverage="0" bottom="0" percent="0" rank="0" text="" dxfId="0">
      <formula>K9="Assumption"</formula>
    </cfRule>
  </conditionalFormatting>
  <dataValidations count="3">
    <dataValidation allowBlank="false" errorStyle="stop" operator="between" showDropDown="false" showErrorMessage="false" showInputMessage="false" sqref="H9:H17" type="list">
      <formula1>"Expat,Repatriate,Local"</formula1>
      <formula2>0</formula2>
    </dataValidation>
    <dataValidation allowBlank="false" errorStyle="stop" operator="between" showDropDown="false" showErrorMessage="false" showInputMessage="false" sqref="J9:J17" type="list">
      <formula1>"Fixed,Rotation"</formula1>
      <formula2>0</formula2>
    </dataValidation>
    <dataValidation allowBlank="false" errorStyle="stop" operator="between" showDropDown="false" showErrorMessage="false" showInputMessage="false" sqref="K9:K17"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8" min="3" style="0" width="32"/>
    <col collapsed="false" customWidth="true" hidden="false" outlineLevel="0" max="9" min="9" style="0" width="20"/>
    <col collapsed="false" customWidth="true" hidden="false" outlineLevel="0" max="10" min="10" style="0" width="36"/>
    <col collapsed="false" customWidth="true" hidden="false" outlineLevel="0" max="11" min="11" style="0" width="14"/>
  </cols>
  <sheetData>
    <row r="3" customFormat="false" ht="24.75" hidden="false" customHeight="true" outlineLevel="0" collapsed="false">
      <c r="C3" s="1" t="s">
        <v>58</v>
      </c>
      <c r="D3" s="1"/>
      <c r="E3" s="1"/>
      <c r="F3" s="1"/>
      <c r="G3" s="1"/>
      <c r="H3" s="1"/>
      <c r="I3" s="1"/>
      <c r="J3" s="1"/>
      <c r="K3" s="1"/>
    </row>
    <row r="5" customFormat="false" ht="15" hidden="false" customHeight="false" outlineLevel="0" collapsed="false">
      <c r="C5" s="2" t="s">
        <v>59</v>
      </c>
      <c r="D5" s="2"/>
      <c r="E5" s="2"/>
      <c r="F5" s="2"/>
      <c r="G5" s="2"/>
      <c r="H5" s="2"/>
      <c r="I5" s="2"/>
      <c r="J5" s="2"/>
      <c r="K5" s="2"/>
    </row>
    <row r="6" customFormat="false" ht="15" hidden="false" customHeight="false" outlineLevel="0" collapsed="false">
      <c r="C6" s="3" t="s">
        <v>60</v>
      </c>
      <c r="D6" s="3"/>
      <c r="E6" s="3"/>
      <c r="F6" s="3"/>
      <c r="G6" s="3"/>
      <c r="H6" s="3"/>
      <c r="I6" s="3"/>
      <c r="J6" s="3"/>
      <c r="K6" s="3"/>
    </row>
    <row r="8" customFormat="false" ht="31.5" hidden="false" customHeight="true" outlineLevel="0" collapsed="false">
      <c r="C8" s="4" t="s">
        <v>8</v>
      </c>
      <c r="D8" s="5" t="s">
        <v>61</v>
      </c>
      <c r="E8" s="5" t="s">
        <v>62</v>
      </c>
      <c r="F8" s="5" t="s">
        <v>63</v>
      </c>
      <c r="G8" s="5" t="s">
        <v>64</v>
      </c>
      <c r="H8" s="5" t="s">
        <v>65</v>
      </c>
      <c r="I8" s="5" t="s">
        <v>66</v>
      </c>
      <c r="J8" s="5" t="s">
        <v>12</v>
      </c>
      <c r="K8" s="6" t="s">
        <v>67</v>
      </c>
    </row>
    <row r="9" customFormat="false" ht="60" hidden="false" customHeight="true" outlineLevel="0" collapsed="false">
      <c r="C9" s="24" t="s">
        <v>15</v>
      </c>
      <c r="D9" s="8" t="s">
        <v>68</v>
      </c>
      <c r="E9" s="8" t="s">
        <v>69</v>
      </c>
      <c r="F9" s="8" t="s">
        <v>70</v>
      </c>
      <c r="G9" s="8" t="s">
        <v>71</v>
      </c>
      <c r="H9" s="8" t="s">
        <v>72</v>
      </c>
      <c r="I9" s="8" t="s">
        <v>73</v>
      </c>
      <c r="J9" s="8" t="s">
        <v>74</v>
      </c>
      <c r="K9" s="25" t="n">
        <f aca="false">COUNTIF(Personnel!H9:H17,C9)</f>
        <v>3</v>
      </c>
    </row>
    <row r="10" customFormat="false" ht="60" hidden="false" customHeight="true" outlineLevel="0" collapsed="false">
      <c r="C10" s="24" t="s">
        <v>21</v>
      </c>
      <c r="D10" s="8" t="s">
        <v>68</v>
      </c>
      <c r="E10" s="8" t="s">
        <v>69</v>
      </c>
      <c r="F10" s="8" t="s">
        <v>75</v>
      </c>
      <c r="G10" s="8" t="s">
        <v>76</v>
      </c>
      <c r="H10" s="8" t="s">
        <v>77</v>
      </c>
      <c r="I10" s="8" t="s">
        <v>73</v>
      </c>
      <c r="J10" s="8" t="s">
        <v>78</v>
      </c>
      <c r="K10" s="25" t="n">
        <f aca="false">COUNTIF(Personnel!H9:H17,C10)</f>
        <v>3</v>
      </c>
    </row>
    <row r="11" customFormat="false" ht="60" hidden="false" customHeight="true" outlineLevel="0" collapsed="false">
      <c r="C11" s="24" t="s">
        <v>34</v>
      </c>
      <c r="D11" s="8" t="s">
        <v>68</v>
      </c>
      <c r="E11" s="8" t="s">
        <v>79</v>
      </c>
      <c r="F11" s="8" t="s">
        <v>80</v>
      </c>
      <c r="G11" s="8" t="s">
        <v>76</v>
      </c>
      <c r="H11" s="8" t="s">
        <v>81</v>
      </c>
      <c r="I11" s="8" t="s">
        <v>73</v>
      </c>
      <c r="J11" s="8" t="s">
        <v>82</v>
      </c>
      <c r="K11" s="25" t="n">
        <f aca="false">COUNTIF(Personnel!H9:H17,C11)</f>
        <v>3</v>
      </c>
    </row>
    <row r="14" customFormat="false" ht="15" hidden="false" customHeight="false" outlineLevel="0" collapsed="false">
      <c r="C14" s="20" t="s">
        <v>83</v>
      </c>
      <c r="D14" s="20"/>
      <c r="E14" s="20"/>
      <c r="F14" s="20"/>
      <c r="G14" s="20"/>
      <c r="H14" s="20"/>
      <c r="I14" s="20"/>
      <c r="J14" s="20"/>
      <c r="K14" s="20"/>
    </row>
    <row r="15" customFormat="false" ht="31.5" hidden="false" customHeight="true" outlineLevel="0" collapsed="false">
      <c r="C15" s="4" t="s">
        <v>10</v>
      </c>
      <c r="D15" s="5" t="s">
        <v>84</v>
      </c>
      <c r="E15" s="5" t="s">
        <v>85</v>
      </c>
      <c r="F15" s="5" t="s">
        <v>86</v>
      </c>
      <c r="G15" s="5" t="s">
        <v>12</v>
      </c>
      <c r="H15" s="6" t="s">
        <v>67</v>
      </c>
    </row>
    <row r="16" customFormat="false" ht="54.75" hidden="false" customHeight="true" outlineLevel="0" collapsed="false">
      <c r="C16" s="24" t="s">
        <v>16</v>
      </c>
      <c r="D16" s="8" t="s">
        <v>87</v>
      </c>
      <c r="E16" s="8" t="s">
        <v>88</v>
      </c>
      <c r="F16" s="8" t="s">
        <v>89</v>
      </c>
      <c r="G16" s="8" t="s">
        <v>90</v>
      </c>
      <c r="H16" s="25" t="n">
        <f aca="false">COUNTIF(Personnel!J9:J17,C16)</f>
        <v>8</v>
      </c>
    </row>
    <row r="17" customFormat="false" ht="54.75" hidden="false" customHeight="true" outlineLevel="0" collapsed="false">
      <c r="C17" s="24" t="s">
        <v>39</v>
      </c>
      <c r="D17" s="8" t="s">
        <v>91</v>
      </c>
      <c r="E17" s="8" t="s">
        <v>92</v>
      </c>
      <c r="F17" s="8" t="s">
        <v>93</v>
      </c>
      <c r="G17" s="8" t="s">
        <v>94</v>
      </c>
      <c r="H17" s="25" t="n">
        <f aca="false">COUNTIF(Personnel!J9:J17,C17)</f>
        <v>1</v>
      </c>
    </row>
    <row r="20" customFormat="false" ht="15" hidden="false" customHeight="true" outlineLevel="0" collapsed="false">
      <c r="C20" s="26" t="s">
        <v>95</v>
      </c>
      <c r="D20" s="26"/>
      <c r="E20" s="26"/>
      <c r="F20" s="26"/>
      <c r="G20" s="26"/>
      <c r="H20" s="26"/>
      <c r="I20" s="26"/>
      <c r="J20" s="26"/>
      <c r="K20" s="26"/>
    </row>
    <row r="21" customFormat="false" ht="15" hidden="false" customHeight="false" outlineLevel="0" collapsed="false">
      <c r="C21" s="26"/>
      <c r="D21" s="26"/>
      <c r="E21" s="26"/>
      <c r="F21" s="26"/>
      <c r="G21" s="26"/>
      <c r="H21" s="26"/>
      <c r="I21" s="26"/>
      <c r="J21" s="26"/>
      <c r="K21" s="26"/>
    </row>
    <row r="22" customFormat="false" ht="15" hidden="false" customHeight="false" outlineLevel="0" collapsed="false">
      <c r="C22" s="26"/>
      <c r="D22" s="26"/>
      <c r="E22" s="26"/>
      <c r="F22" s="26"/>
      <c r="G22" s="26"/>
      <c r="H22" s="26"/>
      <c r="I22" s="26"/>
      <c r="J22" s="26"/>
      <c r="K22" s="26"/>
    </row>
  </sheetData>
  <mergeCells count="5">
    <mergeCell ref="C3:K3"/>
    <mergeCell ref="C5:K5"/>
    <mergeCell ref="C6:K6"/>
    <mergeCell ref="C14:K14"/>
    <mergeCell ref="C20:K22"/>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2026-09-07T18:48:20Z</dcterms:created>
  <dc:creator>openpyxl</dc:creator>
  <dc:description/>
  <dc:language>en-US</dc:language>
  <cp:lastModifiedBy/>
  <dcterms:modified xsi:type="dcterms:W3CDTF">2026-09-07T18:48:20Z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