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comments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bookViews>
  <sheets>
    <sheet r:id="rId1" name="Resumen" sheetId="1"/>
    <sheet r:id="rId2" name="Supuestos" sheetId="2"/>
    <sheet r:id="rId3" name="Personal" sheetId="3"/>
    <sheet r:id="rId4" name="Mensual" sheetId="4"/>
    <sheet r:id="rId5" name="Definiciones" sheetId="5"/>
  </sheets>
  <definedNames>
    <definedName name="_xlnm.Print_Area" localSheetId="0">Resumen!$B$3:$R$46</definedName>
    <definedName name="_xlnm.Print_Area" localSheetId="1">Supuestos!$B$3:$J$39</definedName>
    <definedName name="_xlnm._FilterDatabase" localSheetId="2">Personal!$C$11:$AI$20</definedName>
    <definedName name="_xlnm.Print_Area" localSheetId="2">Personal!$B$3:$AI$22</definedName>
    <definedName name="_xlnm.Print_Titles" localSheetId="2">Personal!$10:$10</definedName>
    <definedName name="_xlnm.Print_Area" localSheetId="3">Mensual!$B$3:$T$30</definedName>
    <definedName name="_xlnm.Print_Titles" localSheetId="3">Mensual!$10:$10</definedName>
    <definedName name="_xlnm.Print_Area" localSheetId="4">Definiciones!$B$3:$K$35</definedName>
  </definedNames>
  <calcPr calcId="0" iterateCount="100" iterateDelta="0.0001"/>
</workbook>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0" authorId="0">
      <text>
        <r>
          <rPr>
            <sz val="10"/>
            <color rgb="FF000000"/>
            <rFont val="Arial"/>
            <family val="2"/>
          </rPr>
          <t>Fuente: supuesto presupuestario del modelo preparado el 5 de septiembre de 2026. Duración solicitada por la gerencia: primeros seis meses como consultor.</t>
        </r>
      </text>
    </comment>
    <comment ref="D11" authorId="0">
      <text>
        <r>
          <rPr>
            <sz val="10"/>
            <color rgb="FF000000"/>
            <rFont val="Arial"/>
            <family val="2"/>
          </rPr>
          <t>Fuente: supuesto presupuestario del modelo preparado el 5 de septiembre de 2026. Segundo bloque presupuestario del año: meses 7 a 12.</t>
        </r>
      </text>
    </comment>
    <comment ref="D12" authorId="0">
      <text>
        <r>
          <rPr>
            <sz val="10"/>
            <color rgb="FF000000"/>
            <rFont val="Arial"/>
            <family val="2"/>
          </rPr>
          <t>Fuente: supuesto presupuestario del modelo preparado el 5 de septiembre de 2026. Supuesto gerencial: no se carga Tax &amp; Social venezolano durante la etapa de consultoría. Requiere validación legal y fiscal independiente.</t>
        </r>
      </text>
    </comment>
    <comment ref="D13" authorId="0">
      <text>
        <r>
          <rPr>
            <sz val="10"/>
            <color rgb="FF000000"/>
            <rFont val="Arial"/>
            <family val="2"/>
          </rPr>
          <t>Fuente: supuesto presupuestario del modelo preparado el 5 de septiembre de 2026. Supuesto gerencial: el repatriado asume su impuesto personal. Ajustar si existen contribuciones patronales obligatorias u otras cargas de la empresa.</t>
        </r>
      </text>
    </comment>
    <comment ref="D14" authorId="0">
      <text>
        <r>
          <rPr>
            <sz val="10"/>
            <color rgb="FF000000"/>
            <rFont val="Arial"/>
            <family val="2"/>
          </rPr>
          <t>Fuente: supuesto presupuestario del modelo preparado el 5 de septiembre de 2026. Supuesto gerencial: la empresa cubre o neutraliza el impuesto del país de trabajo para el expatriado. No incluye obligaciones del país de origen salvo política expresa.</t>
        </r>
      </text>
    </comment>
    <comment ref="D19" authorId="0">
      <text>
        <r>
          <rPr>
            <sz val="10"/>
            <color rgb="FF000000"/>
            <rFont val="Arial"/>
            <family val="2"/>
          </rPr>
          <t>Fuente: supuesto presupuestario del modelo preparado el 5 de septiembre de 2026. Política automática de vivienda para la ciudad 'Caracas'. Puede modificarse por decisión gerencial.</t>
        </r>
      </text>
    </comment>
    <comment ref="D20" authorId="0">
      <text>
        <r>
          <rPr>
            <sz val="10"/>
            <color rgb="FF000000"/>
            <rFont val="Arial"/>
            <family val="2"/>
          </rPr>
          <t>Fuente: supuesto presupuestario del modelo preparado el 5 de septiembre de 2026. Política automática de vivienda para la ciudad 'Maracaibo'. Puede modificarse por decisión gerencial.</t>
        </r>
      </text>
    </comment>
    <comment ref="D21" authorId="0">
      <text>
        <r>
          <rPr>
            <sz val="10"/>
            <color rgb="FF000000"/>
            <rFont val="Arial"/>
            <family val="2"/>
          </rPr>
          <t>Fuente: supuesto presupuestario del modelo preparado el 5 de septiembre de 2026. Política automática de vivienda para la ciudad 'Otro'. Puede modificarse por decisión gerencial.</t>
        </r>
      </text>
    </comment>
    <comment ref="D22" authorId="0">
      <text>
        <r>
          <rPr>
            <sz val="10"/>
            <color rgb="FF000000"/>
            <rFont val="Arial"/>
            <family val="2"/>
          </rPr>
          <t>Fuente: supuesto presupuestario del modelo preparado el 5 de septiembre de 2026. Política automática de vivienda para la ciudad 'Por definir'. Puede modificarse por decisión gerencial.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2" authorId="0">
      <text>
        <r>
          <rPr>
            <sz val="10"/>
            <color rgb="FF000000"/>
            <rFont val="Arial"/>
            <family val="2"/>
          </rPr>
          <t>Fuente: Tabla de paquetes de personal suministrada por el usuario. Fecha: 5 de septiembre de 2026. Fila 1, campo '#'. Archivo: package_source_2026-09-05.jpeg.</t>
        </r>
      </text>
    </comment>
    <comment ref="C13" authorId="0">
      <text>
        <r>
          <rPr>
            <sz val="10"/>
            <color rgb="FF000000"/>
            <rFont val="Arial"/>
            <family val="2"/>
          </rPr>
          <t>Fuente: Tabla de paquetes de personal suministrada por el usuario. Fecha: 5 de septiembre de 2026. Fila 2, campo '#'. Archivo: package_source_2026-09-05.jpeg.</t>
        </r>
      </text>
    </comment>
    <comment ref="C14" authorId="0">
      <text>
        <r>
          <rPr>
            <sz val="10"/>
            <color rgb="FF000000"/>
            <rFont val="Arial"/>
            <family val="2"/>
          </rPr>
          <t>Fuente: Tabla de paquetes de personal suministrada por el usuario. Fecha: 5 de septiembre de 2026. Fila 3, campo '#'. Archivo: package_source_2026-09-05.jpeg.</t>
        </r>
      </text>
    </comment>
    <comment ref="C15" authorId="0">
      <text>
        <r>
          <rPr>
            <sz val="10"/>
            <color rgb="FF000000"/>
            <rFont val="Arial"/>
            <family val="2"/>
          </rPr>
          <t>Fuente: Tabla de paquetes de personal suministrada por el usuario. Fecha: 5 de septiembre de 2026. Fila 4, campo '#'. Archivo: package_source_2026-09-05.jpeg.</t>
        </r>
      </text>
    </comment>
    <comment ref="C16" authorId="0">
      <text>
        <r>
          <rPr>
            <sz val="10"/>
            <color rgb="FF000000"/>
            <rFont val="Arial"/>
            <family val="2"/>
          </rPr>
          <t>Fuente: Tabla de paquetes de personal suministrada por el usuario. Fecha: 5 de septiembre de 2026. Fila 5, campo '#'. Archivo: package_source_2026-09-05.jpeg.</t>
        </r>
      </text>
    </comment>
    <comment ref="C17" authorId="0">
      <text>
        <r>
          <rPr>
            <sz val="10"/>
            <color rgb="FF000000"/>
            <rFont val="Arial"/>
            <family val="2"/>
          </rPr>
          <t>Fuente: Tabla de paquetes de personal suministrada por el usuario. Fecha: 5 de septiembre de 2026. Fila 6, campo '#'. Archivo: package_source_2026-09-05.jpeg.</t>
        </r>
      </text>
    </comment>
    <comment ref="C18" authorId="0">
      <text>
        <r>
          <rPr>
            <sz val="10"/>
            <color rgb="FF000000"/>
            <rFont val="Arial"/>
            <family val="2"/>
          </rPr>
          <t>Fuente: Tabla de paquetes de personal suministrada por el usuario. Fecha: 5 de septiembre de 2026. Fila 7, campo '#'. Archivo: package_source_2026-09-05.jpeg.</t>
        </r>
      </text>
    </comment>
    <comment ref="C19" authorId="0">
      <text>
        <r>
          <rPr>
            <sz val="10"/>
            <color rgb="FF000000"/>
            <rFont val="Arial"/>
            <family val="2"/>
          </rPr>
          <t>Fuente: Tabla de paquetes de personal suministrada por el usuario. Fecha: 5 de septiembre de 2026. Fila 8, campo '#'. Archivo: package_source_2026-09-05.jpeg.</t>
        </r>
      </text>
    </comment>
    <comment ref="C20" authorId="0">
      <text>
        <r>
          <rPr>
            <sz val="10"/>
            <color rgb="FF000000"/>
            <rFont val="Arial"/>
            <family val="2"/>
          </rPr>
          <t>Fuente: Tabla de paquetes de personal suministrada por el usuario. Fecha: 5 de septiembre de 2026. Fila 9, campo '#'. Archivo: package_source_2026-09-05.jpeg.</t>
        </r>
      </text>
    </comment>
    <comment ref="D12" authorId="0">
      <text>
        <r>
          <rPr>
            <sz val="10"/>
            <color rgb="FF000000"/>
            <rFont val="Arial"/>
            <family val="2"/>
          </rPr>
          <t>Fuente: Tabla de paquetes de personal suministrada por el usuario. Fecha: 5 de septiembre de 2026. Fila 1, campo 'Position'. Archivo: package_source_2026-09-05.jpeg.</t>
        </r>
      </text>
    </comment>
    <comment ref="D13" authorId="0">
      <text>
        <r>
          <rPr>
            <sz val="10"/>
            <color rgb="FF000000"/>
            <rFont val="Arial"/>
            <family val="2"/>
          </rPr>
          <t>Fuente: Tabla de paquetes de personal suministrada por el usuario. Fecha: 5 de septiembre de 2026. Fila 2, campo 'Position'. Archivo: package_source_2026-09-05.jpeg.</t>
        </r>
      </text>
    </comment>
    <comment ref="D14" authorId="0">
      <text>
        <r>
          <rPr>
            <sz val="10"/>
            <color rgb="FF000000"/>
            <rFont val="Arial"/>
            <family val="2"/>
          </rPr>
          <t>Fuente: Tabla de paquetes de personal suministrada por el usuario. Fecha: 5 de septiembre de 2026. Fila 3, campo 'Position'. Archivo: package_source_2026-09-05.jpeg.</t>
        </r>
      </text>
    </comment>
    <comment ref="D15" authorId="0">
      <text>
        <r>
          <rPr>
            <sz val="10"/>
            <color rgb="FF000000"/>
            <rFont val="Arial"/>
            <family val="2"/>
          </rPr>
          <t>Fuente: Tabla de paquetes de personal suministrada por el usuario. Fecha: 5 de septiembre de 2026. Fila 4, campo 'Position'. Archivo: package_source_2026-09-05.jpeg.</t>
        </r>
      </text>
    </comment>
    <comment ref="D16" authorId="0">
      <text>
        <r>
          <rPr>
            <sz val="10"/>
            <color rgb="FF000000"/>
            <rFont val="Arial"/>
            <family val="2"/>
          </rPr>
          <t>Fuente: Tabla de paquetes de personal suministrada por el usuario. Fecha: 5 de septiembre de 2026. Fila 5, campo 'Position'. Archivo: package_source_2026-09-05.jpeg.</t>
        </r>
      </text>
    </comment>
    <comment ref="D17" authorId="0">
      <text>
        <r>
          <rPr>
            <sz val="10"/>
            <color rgb="FF000000"/>
            <rFont val="Arial"/>
            <family val="2"/>
          </rPr>
          <t>Fuente: Tabla de paquetes de personal suministrada por el usuario. Fecha: 5 de septiembre de 2026. Fila 6, campo 'Position'. Archivo: package_source_2026-09-05.jpeg.</t>
        </r>
      </text>
    </comment>
    <comment ref="D18" authorId="0">
      <text>
        <r>
          <rPr>
            <sz val="10"/>
            <color rgb="FF000000"/>
            <rFont val="Arial"/>
            <family val="2"/>
          </rPr>
          <t>Fuente: Tabla de paquetes de personal suministrada por el usuario. Fecha: 5 de septiembre de 2026. Fila 7, campo 'Position'. Archivo: package_source_2026-09-05.jpeg.</t>
        </r>
      </text>
    </comment>
    <comment ref="D19" authorId="0">
      <text>
        <r>
          <rPr>
            <sz val="10"/>
            <color rgb="FF000000"/>
            <rFont val="Arial"/>
            <family val="2"/>
          </rPr>
          <t>Fuente: Tabla de paquetes de personal suministrada por el usuario. Fecha: 5 de septiembre de 2026. Fila 8, campo 'Position'. Archivo: package_source_2026-09-05.jpeg.</t>
        </r>
      </text>
    </comment>
    <comment ref="D20" authorId="0">
      <text>
        <r>
          <rPr>
            <sz val="10"/>
            <color rgb="FF000000"/>
            <rFont val="Arial"/>
            <family val="2"/>
          </rPr>
          <t>Fuente: Tabla de paquetes de personal suministrada por el usuario. Fecha: 5 de septiembre de 2026. Fila 9, campo 'Position'. Archivo: package_source_2026-09-05.jpeg.</t>
        </r>
      </text>
    </comment>
    <comment ref="E12" authorId="0">
      <text>
        <r>
          <rPr>
            <sz val="10"/>
            <color rgb="FF000000"/>
            <rFont val="Arial"/>
            <family val="2"/>
          </rPr>
          <t>Fuente: Tabla de paquetes de personal suministrada por el usuario. Fecha: 5 de septiembre de 2026. Fila 1, campo 'Person'. Archivo: package_source_2026-09-05.jpeg.</t>
        </r>
      </text>
    </comment>
    <comment ref="E13" authorId="0">
      <text>
        <r>
          <rPr>
            <sz val="10"/>
            <color rgb="FF000000"/>
            <rFont val="Arial"/>
            <family val="2"/>
          </rPr>
          <t>Fuente: Tabla de paquetes de personal suministrada por el usuario. Fecha: 5 de septiembre de 2026. Fila 2, campo 'Person'. Archivo: package_source_2026-09-05.jpeg.</t>
        </r>
      </text>
    </comment>
    <comment ref="E14" authorId="0">
      <text>
        <r>
          <rPr>
            <sz val="10"/>
            <color rgb="FF000000"/>
            <rFont val="Arial"/>
            <family val="2"/>
          </rPr>
          <t>Fuente: Tabla de paquetes de personal suministrada por el usuario. Fecha: 5 de septiembre de 2026. Fila 3, campo 'Person'. Archivo: package_source_2026-09-05.jpeg.</t>
        </r>
      </text>
    </comment>
    <comment ref="E15" authorId="0">
      <text>
        <r>
          <rPr>
            <sz val="10"/>
            <color rgb="FF000000"/>
            <rFont val="Arial"/>
            <family val="2"/>
          </rPr>
          <t>Fuente: Tabla de paquetes de personal suministrada por el usuario. Fecha: 5 de septiembre de 2026. Fila 4, campo 'Person'. Archivo: package_source_2026-09-05.jpeg.</t>
        </r>
      </text>
    </comment>
    <comment ref="E16" authorId="0">
      <text>
        <r>
          <rPr>
            <sz val="10"/>
            <color rgb="FF000000"/>
            <rFont val="Arial"/>
            <family val="2"/>
          </rPr>
          <t>Fuente: Tabla de paquetes de personal suministrada por el usuario. Fecha: 5 de septiembre de 2026. Fila 5, campo 'Person'. Archivo: package_source_2026-09-05.jpeg.</t>
        </r>
      </text>
    </comment>
    <comment ref="E17" authorId="0">
      <text>
        <r>
          <rPr>
            <sz val="10"/>
            <color rgb="FF000000"/>
            <rFont val="Arial"/>
            <family val="2"/>
          </rPr>
          <t>Fuente: Tabla de paquetes de personal suministrada por el usuario. Fecha: 5 de septiembre de 2026. Fila 6, campo 'Person'. Archivo: package_source_2026-09-05.jpeg.</t>
        </r>
      </text>
    </comment>
    <comment ref="E18" authorId="0">
      <text>
        <r>
          <rPr>
            <sz val="10"/>
            <color rgb="FF000000"/>
            <rFont val="Arial"/>
            <family val="2"/>
          </rPr>
          <t>Fuente: Tabla de paquetes de personal suministrada por el usuario. Fecha: 5 de septiembre de 2026. Fila 7, campo 'Person'. Archivo: package_source_2026-09-05.jpeg.</t>
        </r>
      </text>
    </comment>
    <comment ref="E19" authorId="0">
      <text>
        <r>
          <rPr>
            <sz val="10"/>
            <color rgb="FF000000"/>
            <rFont val="Arial"/>
            <family val="2"/>
          </rPr>
          <t>Fuente: Tabla de paquetes de personal suministrada por el usuario. Fecha: 5 de septiembre de 2026. Fila 8, campo 'Person'. Archivo: package_source_2026-09-05.jpeg.</t>
        </r>
      </text>
    </comment>
    <comment ref="E20" authorId="0">
      <text>
        <r>
          <rPr>
            <sz val="10"/>
            <color rgb="FF000000"/>
            <rFont val="Arial"/>
            <family val="2"/>
          </rPr>
          <t>Fuente: Tabla de paquetes de personal suministrada por el usuario. Fecha: 5 de septiembre de 2026. Fila 9, campo 'Person'. Archivo: package_source_2026-09-05.jpeg.</t>
        </r>
      </text>
    </comment>
    <comment ref="F12" authorId="0">
      <text>
        <r>
          <rPr>
            <sz val="10"/>
            <color rgb="FF000000"/>
            <rFont val="Arial"/>
            <family val="2"/>
          </rPr>
          <t>Fuente: Tabla de paquetes de personal suministrada por el usuario. Fecha: 5 de septiembre de 2026. Fila 1, campo 'Base Salary (Annual)'. Archivo: package_source_2026-09-05.jpeg.</t>
        </r>
      </text>
    </comment>
    <comment ref="F13" authorId="0">
      <text>
        <r>
          <rPr>
            <sz val="10"/>
            <color rgb="FF000000"/>
            <rFont val="Arial"/>
            <family val="2"/>
          </rPr>
          <t>Fuente: Tabla de paquetes de personal suministrada por el usuario. Fecha: 5 de septiembre de 2026. Fila 2, campo 'Base Salary (Annual)'. Archivo: package_source_2026-09-05.jpeg.</t>
        </r>
      </text>
    </comment>
    <comment ref="F14" authorId="0">
      <text>
        <r>
          <rPr>
            <sz val="10"/>
            <color rgb="FF000000"/>
            <rFont val="Arial"/>
            <family val="2"/>
          </rPr>
          <t>Fuente: Tabla de paquetes de personal suministrada por el usuario. Fecha: 5 de septiembre de 2026. Fila 3, campo 'Base Salary (Annual)'. Archivo: package_source_2026-09-05.jpeg.</t>
        </r>
      </text>
    </comment>
    <comment ref="F15" authorId="0">
      <text>
        <r>
          <rPr>
            <sz val="10"/>
            <color rgb="FF000000"/>
            <rFont val="Arial"/>
            <family val="2"/>
          </rPr>
          <t>Fuente: Tabla de paquetes de personal suministrada por el usuario. Fecha: 5 de septiembre de 2026. Fila 4, campo 'Base Salary (Annual)'. Archivo: package_source_2026-09-05.jpeg.</t>
        </r>
      </text>
    </comment>
    <comment ref="F16" authorId="0">
      <text>
        <r>
          <rPr>
            <sz val="10"/>
            <color rgb="FF000000"/>
            <rFont val="Arial"/>
            <family val="2"/>
          </rPr>
          <t>Fuente: Tabla de paquetes de personal suministrada por el usuario. Fecha: 5 de septiembre de 2026. Fila 5, campo 'Base Salary (Annual)'. Archivo: package_source_2026-09-05.jpeg.</t>
        </r>
      </text>
    </comment>
    <comment ref="F17" authorId="0">
      <text>
        <r>
          <rPr>
            <sz val="10"/>
            <color rgb="FF000000"/>
            <rFont val="Arial"/>
            <family val="2"/>
          </rPr>
          <t>Fuente: Tabla de paquetes de personal suministrada por el usuario. Fecha: 5 de septiembre de 2026. Fila 6, campo 'Base Salary (Annual)'. Archivo: package_source_2026-09-05.jpeg.</t>
        </r>
      </text>
    </comment>
    <comment ref="F18" authorId="0">
      <text>
        <r>
          <rPr>
            <sz val="10"/>
            <color rgb="FF000000"/>
            <rFont val="Arial"/>
            <family val="2"/>
          </rPr>
          <t>Fuente: Tabla de paquetes de personal suministrada por el usuario. Fecha: 5 de septiembre de 2026. Fila 7, campo 'Base Salary (Annual)'. Archivo: package_source_2026-09-05.jpeg.</t>
        </r>
      </text>
    </comment>
    <comment ref="F19" authorId="0">
      <text>
        <r>
          <rPr>
            <sz val="10"/>
            <color rgb="FF000000"/>
            <rFont val="Arial"/>
            <family val="2"/>
          </rPr>
          <t>Fuente: Tabla de paquetes de personal suministrada por el usuario. Fecha: 5 de septiembre de 2026. Fila 8, campo 'Base Salary (Annual)'. Archivo: package_source_2026-09-05.jpeg.</t>
        </r>
      </text>
    </comment>
    <comment ref="F20" authorId="0">
      <text>
        <r>
          <rPr>
            <sz val="10"/>
            <color rgb="FF000000"/>
            <rFont val="Arial"/>
            <family val="2"/>
          </rPr>
          <t>Fuente: Tabla de paquetes de personal suministrada por el usuario. Fecha: 5 de septiembre de 2026. Fila 9, campo 'Base Salary (Annual)'. Archivo: package_source_2026-09-05.jpeg.</t>
        </r>
      </text>
    </comment>
    <comment ref="G12" authorId="0">
      <text>
        <r>
          <rPr>
            <sz val="10"/>
            <color rgb="FF000000"/>
            <rFont val="Arial"/>
            <family val="2"/>
          </rPr>
          <t>Fuente: Tabla de paquetes de personal suministrada por el usuario. Fecha: 5 de septiembre de 2026. Fila 1, campo 'Housing (Annual)'. Archivo: package_source_2026-09-05.jpeg.</t>
        </r>
      </text>
    </comment>
    <comment ref="G13" authorId="0">
      <text>
        <r>
          <rPr>
            <sz val="10"/>
            <color rgb="FF000000"/>
            <rFont val="Arial"/>
            <family val="2"/>
          </rPr>
          <t>Fuente: Tabla de paquetes de personal suministrada por el usuario. Fecha: 5 de septiembre de 2026. Fila 2, campo 'Housing (Annual)'. Archivo: package_source_2026-09-05.jpeg.</t>
        </r>
      </text>
    </comment>
    <comment ref="G14" authorId="0">
      <text>
        <r>
          <rPr>
            <sz val="10"/>
            <color rgb="FF000000"/>
            <rFont val="Arial"/>
            <family val="2"/>
          </rPr>
          <t>Fuente: Tabla de paquetes de personal suministrada por el usuario. Fecha: 5 de septiembre de 2026. Fila 3, campo 'Housing (Annual)'. Archivo: package_source_2026-09-05.jpeg.</t>
        </r>
      </text>
    </comment>
    <comment ref="G15" authorId="0">
      <text>
        <r>
          <rPr>
            <sz val="10"/>
            <color rgb="FF000000"/>
            <rFont val="Arial"/>
            <family val="2"/>
          </rPr>
          <t>Fuente: Tabla de paquetes de personal suministrada por el usuario. Fecha: 5 de septiembre de 2026. Fila 4, campo 'Housing (Annual)'. Archivo: package_source_2026-09-05.jpeg.</t>
        </r>
      </text>
    </comment>
    <comment ref="G16" authorId="0">
      <text>
        <r>
          <rPr>
            <sz val="10"/>
            <color rgb="FF000000"/>
            <rFont val="Arial"/>
            <family val="2"/>
          </rPr>
          <t>Fuente: Tabla de paquetes de personal suministrada por el usuario. Fecha: 5 de septiembre de 2026. Fila 5, campo 'Housing (Annual)'. Archivo: package_source_2026-09-05.jpeg.</t>
        </r>
      </text>
    </comment>
    <comment ref="G17" authorId="0">
      <text>
        <r>
          <rPr>
            <sz val="10"/>
            <color rgb="FF000000"/>
            <rFont val="Arial"/>
            <family val="2"/>
          </rPr>
          <t>Fuente: Tabla de paquetes de personal suministrada por el usuario. Fecha: 5 de septiembre de 2026. Fila 6, campo 'Housing (Annual)'. Archivo: package_source_2026-09-05.jpeg.</t>
        </r>
      </text>
    </comment>
    <comment ref="G18" authorId="0">
      <text>
        <r>
          <rPr>
            <sz val="10"/>
            <color rgb="FF000000"/>
            <rFont val="Arial"/>
            <family val="2"/>
          </rPr>
          <t>Fuente: Tabla de paquetes de personal suministrada por el usuario. Fecha: 5 de septiembre de 2026. Fila 7, campo 'Housing (Annual)'. Archivo: package_source_2026-09-05.jpeg.</t>
        </r>
      </text>
    </comment>
    <comment ref="G19" authorId="0">
      <text>
        <r>
          <rPr>
            <sz val="10"/>
            <color rgb="FF000000"/>
            <rFont val="Arial"/>
            <family val="2"/>
          </rPr>
          <t>Fuente: Tabla de paquetes de personal suministrada por el usuario. Fecha: 5 de septiembre de 2026. Fila 8, campo 'Housing (Annual)'. Archivo: package_source_2026-09-05.jpeg.</t>
        </r>
      </text>
    </comment>
    <comment ref="G20" authorId="0">
      <text>
        <r>
          <rPr>
            <sz val="10"/>
            <color rgb="FF000000"/>
            <rFont val="Arial"/>
            <family val="2"/>
          </rPr>
          <t>Fuente: Tabla de paquetes de personal suministrada por el usuario. Fecha: 5 de septiembre de 2026. Fila 9, campo 'Housing (Annual)'. Archivo: package_source_2026-09-05.jpeg.</t>
        </r>
      </text>
    </comment>
    <comment ref="H12" authorId="0">
      <text>
        <r>
          <rPr>
            <sz val="10"/>
            <color rgb="FF000000"/>
            <rFont val="Arial"/>
            <family val="2"/>
          </rPr>
          <t>Fuente: Tabla de paquetes de personal suministrada por el usuario. Fecha: 5 de septiembre de 2026. Fila 1, campo 'Medical Insurance'. Archivo: package_source_2026-09-05.jpeg.</t>
        </r>
      </text>
    </comment>
    <comment ref="H13" authorId="0">
      <text>
        <r>
          <rPr>
            <sz val="10"/>
            <color rgb="FF000000"/>
            <rFont val="Arial"/>
            <family val="2"/>
          </rPr>
          <t>Fuente: Tabla de paquetes de personal suministrada por el usuario. Fecha: 5 de septiembre de 2026. Fila 2, campo 'Medical Insurance'. Archivo: package_source_2026-09-05.jpeg.</t>
        </r>
      </text>
    </comment>
    <comment ref="H14" authorId="0">
      <text>
        <r>
          <rPr>
            <sz val="10"/>
            <color rgb="FF000000"/>
            <rFont val="Arial"/>
            <family val="2"/>
          </rPr>
          <t>Fuente: Tabla de paquetes de personal suministrada por el usuario. Fecha: 5 de septiembre de 2026. Fila 3, campo 'Medical Insurance'. Archivo: package_source_2026-09-05.jpeg.</t>
        </r>
      </text>
    </comment>
    <comment ref="H15" authorId="0">
      <text>
        <r>
          <rPr>
            <sz val="10"/>
            <color rgb="FF000000"/>
            <rFont val="Arial"/>
            <family val="2"/>
          </rPr>
          <t>Fuente: Tabla de paquetes de personal suministrada por el usuario. Fecha: 5 de septiembre de 2026. Fila 4, campo 'Medical Insurance'. Archivo: package_source_2026-09-05.jpeg.</t>
        </r>
      </text>
    </comment>
    <comment ref="H16" authorId="0">
      <text>
        <r>
          <rPr>
            <sz val="10"/>
            <color rgb="FF000000"/>
            <rFont val="Arial"/>
            <family val="2"/>
          </rPr>
          <t>Fuente: Tabla de paquetes de personal suministrada por el usuario. Fecha: 5 de septiembre de 2026. Fila 5, campo 'Medical Insurance'. Archivo: package_source_2026-09-05.jpeg.</t>
        </r>
      </text>
    </comment>
    <comment ref="H17" authorId="0">
      <text>
        <r>
          <rPr>
            <sz val="10"/>
            <color rgb="FF000000"/>
            <rFont val="Arial"/>
            <family val="2"/>
          </rPr>
          <t>Fuente: Tabla de paquetes de personal suministrada por el usuario. Fecha: 5 de septiembre de 2026. Fila 6, campo 'Medical Insurance'. Archivo: package_source_2026-09-05.jpeg.</t>
        </r>
      </text>
    </comment>
    <comment ref="H18" authorId="0">
      <text>
        <r>
          <rPr>
            <sz val="10"/>
            <color rgb="FF000000"/>
            <rFont val="Arial"/>
            <family val="2"/>
          </rPr>
          <t>Fuente: Tabla de paquetes de personal suministrada por el usuario. Fecha: 5 de septiembre de 2026. Fila 7, campo 'Medical Insurance'. Archivo: package_source_2026-09-05.jpeg.</t>
        </r>
      </text>
    </comment>
    <comment ref="H19" authorId="0">
      <text>
        <r>
          <rPr>
            <sz val="10"/>
            <color rgb="FF000000"/>
            <rFont val="Arial"/>
            <family val="2"/>
          </rPr>
          <t>Fuente: Tabla de paquetes de personal suministrada por el usuario. Fecha: 5 de septiembre de 2026. Fila 8, campo 'Medical Insurance'. Archivo: package_source_2026-09-05.jpeg.</t>
        </r>
      </text>
    </comment>
    <comment ref="H20" authorId="0">
      <text>
        <r>
          <rPr>
            <sz val="10"/>
            <color rgb="FF000000"/>
            <rFont val="Arial"/>
            <family val="2"/>
          </rPr>
          <t>Fuente: Tabla de paquetes de personal suministrada por el usuario. Fecha: 5 de septiembre de 2026. Fila 9, campo 'Medical Insurance'. Archivo: package_source_2026-09-05.jpeg.</t>
        </r>
      </text>
    </comment>
    <comment ref="I12" authorId="0">
      <text>
        <r>
          <rPr>
            <sz val="10"/>
            <color rgb="FF000000"/>
            <rFont val="Arial"/>
            <family val="2"/>
          </rPr>
          <t>Fuente: Tabla de paquetes de personal suministrada por el usuario. Fecha: 5 de septiembre de 2026. Fila 1, campo 'Home Leave'. Archivo: package_source_2026-09-05.jpeg.</t>
        </r>
      </text>
    </comment>
    <comment ref="I13" authorId="0">
      <text>
        <r>
          <rPr>
            <sz val="10"/>
            <color rgb="FF000000"/>
            <rFont val="Arial"/>
            <family val="2"/>
          </rPr>
          <t>Fuente: Tabla de paquetes de personal suministrada por el usuario. Fecha: 5 de septiembre de 2026. Fila 2, campo 'Home Leave'. Archivo: package_source_2026-09-05.jpeg.</t>
        </r>
      </text>
    </comment>
    <comment ref="I14" authorId="0">
      <text>
        <r>
          <rPr>
            <sz val="10"/>
            <color rgb="FF000000"/>
            <rFont val="Arial"/>
            <family val="2"/>
          </rPr>
          <t>Fuente: Tabla de paquetes de personal suministrada por el usuario. Fecha: 5 de septiembre de 2026. Fila 3, campo 'Home Leave'. Archivo: package_source_2026-09-05.jpeg.</t>
        </r>
      </text>
    </comment>
    <comment ref="I15" authorId="0">
      <text>
        <r>
          <rPr>
            <sz val="10"/>
            <color rgb="FF000000"/>
            <rFont val="Arial"/>
            <family val="2"/>
          </rPr>
          <t>Fuente: Tabla de paquetes de personal suministrada por el usuario. Fecha: 5 de septiembre de 2026. Fila 4, campo 'Home Leave'. Archivo: package_source_2026-09-05.jpeg.</t>
        </r>
      </text>
    </comment>
    <comment ref="I16" authorId="0">
      <text>
        <r>
          <rPr>
            <sz val="10"/>
            <color rgb="FF000000"/>
            <rFont val="Arial"/>
            <family val="2"/>
          </rPr>
          <t>Fuente: Tabla de paquetes de personal suministrada por el usuario. Fecha: 5 de septiembre de 2026. Fila 5, campo 'Home Leave'. Archivo: package_source_2026-09-05.jpeg.</t>
        </r>
      </text>
    </comment>
    <comment ref="I17" authorId="0">
      <text>
        <r>
          <rPr>
            <sz val="10"/>
            <color rgb="FF000000"/>
            <rFont val="Arial"/>
            <family val="2"/>
          </rPr>
          <t>Fuente: Tabla de paquetes de personal suministrada por el usuario. Fecha: 5 de septiembre de 2026. Fila 6, campo 'Home Leave'. Archivo: package_source_2026-09-05.jpeg.</t>
        </r>
      </text>
    </comment>
    <comment ref="I18" authorId="0">
      <text>
        <r>
          <rPr>
            <sz val="10"/>
            <color rgb="FF000000"/>
            <rFont val="Arial"/>
            <family val="2"/>
          </rPr>
          <t>Fuente: Tabla de paquetes de personal suministrada por el usuario. Fecha: 5 de septiembre de 2026. Fila 7, campo 'Home Leave'. Archivo: package_source_2026-09-05.jpeg.</t>
        </r>
      </text>
    </comment>
    <comment ref="I19" authorId="0">
      <text>
        <r>
          <rPr>
            <sz val="10"/>
            <color rgb="FF000000"/>
            <rFont val="Arial"/>
            <family val="2"/>
          </rPr>
          <t>Fuente: Tabla de paquetes de personal suministrada por el usuario. Fecha: 5 de septiembre de 2026. Fila 8, campo 'Home Leave'. Archivo: package_source_2026-09-05.jpeg.</t>
        </r>
      </text>
    </comment>
    <comment ref="I20" authorId="0">
      <text>
        <r>
          <rPr>
            <sz val="10"/>
            <color rgb="FF000000"/>
            <rFont val="Arial"/>
            <family val="2"/>
          </rPr>
          <t>Fuente: Tabla de paquetes de personal suministrada por el usuario. Fecha: 5 de septiembre de 2026. Fila 9, campo 'Home Leave'. Archivo: package_source_2026-09-05.jpeg.</t>
        </r>
      </text>
    </comment>
    <comment ref="J12" authorId="0">
      <text>
        <r>
          <rPr>
            <sz val="10"/>
            <color rgb="FF000000"/>
            <rFont val="Arial"/>
            <family val="2"/>
          </rPr>
          <t>Fuente: Tabla de paquetes de personal suministrada por el usuario. Fecha: 5 de septiembre de 2026. Fila 1, campo 'Company Vehicle'. Archivo: package_source_2026-09-05.jpeg.</t>
        </r>
      </text>
    </comment>
    <comment ref="J13" authorId="0">
      <text>
        <r>
          <rPr>
            <sz val="10"/>
            <color rgb="FF000000"/>
            <rFont val="Arial"/>
            <family val="2"/>
          </rPr>
          <t>Fuente: Tabla de paquetes de personal suministrada por el usuario. Fecha: 5 de septiembre de 2026. Fila 2, campo 'Company Vehicle'. Archivo: package_source_2026-09-05.jpeg.</t>
        </r>
      </text>
    </comment>
    <comment ref="J14" authorId="0">
      <text>
        <r>
          <rPr>
            <sz val="10"/>
            <color rgb="FF000000"/>
            <rFont val="Arial"/>
            <family val="2"/>
          </rPr>
          <t>Fuente: Tabla de paquetes de personal suministrada por el usuario. Fecha: 5 de septiembre de 2026. Fila 3, campo 'Company Vehicle'. Archivo: package_source_2026-09-05.jpeg.</t>
        </r>
      </text>
    </comment>
    <comment ref="J15" authorId="0">
      <text>
        <r>
          <rPr>
            <sz val="10"/>
            <color rgb="FF000000"/>
            <rFont val="Arial"/>
            <family val="2"/>
          </rPr>
          <t>Fuente: Tabla de paquetes de personal suministrada por el usuario. Fecha: 5 de septiembre de 2026. Fila 4, campo 'Company Vehicle'. Archivo: package_source_2026-09-05.jpeg.</t>
        </r>
      </text>
    </comment>
    <comment ref="J16" authorId="0">
      <text>
        <r>
          <rPr>
            <sz val="10"/>
            <color rgb="FF000000"/>
            <rFont val="Arial"/>
            <family val="2"/>
          </rPr>
          <t>Fuente: Tabla de paquetes de personal suministrada por el usuario. Fecha: 5 de septiembre de 2026. Fila 5, campo 'Company Vehicle'. Archivo: package_source_2026-09-05.jpeg.</t>
        </r>
      </text>
    </comment>
    <comment ref="J17" authorId="0">
      <text>
        <r>
          <rPr>
            <sz val="10"/>
            <color rgb="FF000000"/>
            <rFont val="Arial"/>
            <family val="2"/>
          </rPr>
          <t>Fuente: Tabla de paquetes de personal suministrada por el usuario. Fecha: 5 de septiembre de 2026. Fila 6, campo 'Company Vehicle'. Archivo: package_source_2026-09-05.jpeg.</t>
        </r>
      </text>
    </comment>
    <comment ref="J18" authorId="0">
      <text>
        <r>
          <rPr>
            <sz val="10"/>
            <color rgb="FF000000"/>
            <rFont val="Arial"/>
            <family val="2"/>
          </rPr>
          <t>Fuente: Tabla de paquetes de personal suministrada por el usuario. Fecha: 5 de septiembre de 2026. Fila 7, campo 'Company Vehicle'. Archivo: package_source_2026-09-05.jpeg.</t>
        </r>
      </text>
    </comment>
    <comment ref="J19" authorId="0">
      <text>
        <r>
          <rPr>
            <sz val="10"/>
            <color rgb="FF000000"/>
            <rFont val="Arial"/>
            <family val="2"/>
          </rPr>
          <t>Fuente: Tabla de paquetes de personal suministrada por el usuario. Fecha: 5 de septiembre de 2026. Fila 8, campo 'Company Vehicle'. Archivo: package_source_2026-09-05.jpeg.</t>
        </r>
      </text>
    </comment>
    <comment ref="J20" authorId="0">
      <text>
        <r>
          <rPr>
            <sz val="10"/>
            <color rgb="FF000000"/>
            <rFont val="Arial"/>
            <family val="2"/>
          </rPr>
          <t>Fuente: Tabla de paquetes de personal suministrada por el usuario. Fecha: 5 de septiembre de 2026. Fila 9, campo 'Company Vehicle'. Archivo: package_source_2026-09-05.jpeg.</t>
        </r>
      </text>
    </comment>
    <comment ref="K12" authorId="0">
      <text>
        <r>
          <rPr>
            <sz val="10"/>
            <color rgb="FF000000"/>
            <rFont val="Arial"/>
            <family val="2"/>
          </rPr>
          <t>Fuente: Tabla de paquetes de personal suministrada por el usuario. Fecha: 5 de septiembre de 2026. Fila 1, campo 'Tax &amp; Social'. Archivo: package_source_2026-09-05.jpeg.</t>
        </r>
      </text>
    </comment>
    <comment ref="K13" authorId="0">
      <text>
        <r>
          <rPr>
            <sz val="10"/>
            <color rgb="FF000000"/>
            <rFont val="Arial"/>
            <family val="2"/>
          </rPr>
          <t>Fuente: Tabla de paquetes de personal suministrada por el usuario. Fecha: 5 de septiembre de 2026. Fila 2, campo 'Tax &amp; Social'. Archivo: package_source_2026-09-05.jpeg.</t>
        </r>
      </text>
    </comment>
    <comment ref="K14" authorId="0">
      <text>
        <r>
          <rPr>
            <sz val="10"/>
            <color rgb="FF000000"/>
            <rFont val="Arial"/>
            <family val="2"/>
          </rPr>
          <t>Fuente: Tabla de paquetes de personal suministrada por el usuario. Fecha: 5 de septiembre de 2026. Fila 3, campo 'Tax &amp; Social'. Archivo: package_source_2026-09-05.jpeg.</t>
        </r>
      </text>
    </comment>
    <comment ref="K15" authorId="0">
      <text>
        <r>
          <rPr>
            <sz val="10"/>
            <color rgb="FF000000"/>
            <rFont val="Arial"/>
            <family val="2"/>
          </rPr>
          <t>Fuente: Tabla de paquetes de personal suministrada por el usuario. Fecha: 5 de septiembre de 2026. Fila 4, campo 'Tax &amp; Social'. Archivo: package_source_2026-09-05.jpeg.</t>
        </r>
      </text>
    </comment>
    <comment ref="K16" authorId="0">
      <text>
        <r>
          <rPr>
            <sz val="10"/>
            <color rgb="FF000000"/>
            <rFont val="Arial"/>
            <family val="2"/>
          </rPr>
          <t>Fuente: Tabla de paquetes de personal suministrada por el usuario. Fecha: 5 de septiembre de 2026. Fila 5, campo 'Tax &amp; Social'. Archivo: package_source_2026-09-05.jpeg.</t>
        </r>
      </text>
    </comment>
    <comment ref="K17" authorId="0">
      <text>
        <r>
          <rPr>
            <sz val="10"/>
            <color rgb="FF000000"/>
            <rFont val="Arial"/>
            <family val="2"/>
          </rPr>
          <t>Fuente: Tabla de paquetes de personal suministrada por el usuario. Fecha: 5 de septiembre de 2026. Fila 6, campo 'Tax &amp; Social'. Archivo: package_source_2026-09-05.jpeg.</t>
        </r>
      </text>
    </comment>
    <comment ref="K18" authorId="0">
      <text>
        <r>
          <rPr>
            <sz val="10"/>
            <color rgb="FF000000"/>
            <rFont val="Arial"/>
            <family val="2"/>
          </rPr>
          <t>Fuente: Tabla de paquetes de personal suministrada por el usuario. Fecha: 5 de septiembre de 2026. Fila 7, campo 'Tax &amp; Social'. Archivo: package_source_2026-09-05.jpeg.</t>
        </r>
      </text>
    </comment>
    <comment ref="K19" authorId="0">
      <text>
        <r>
          <rPr>
            <sz val="10"/>
            <color rgb="FF000000"/>
            <rFont val="Arial"/>
            <family val="2"/>
          </rPr>
          <t>Fuente: Tabla de paquetes de personal suministrada por el usuario. Fecha: 5 de septiembre de 2026. Fila 8, campo 'Tax &amp; Social'. Archivo: package_source_2026-09-05.jpeg.</t>
        </r>
      </text>
    </comment>
    <comment ref="K20" authorId="0">
      <text>
        <r>
          <rPr>
            <sz val="10"/>
            <color rgb="FF000000"/>
            <rFont val="Arial"/>
            <family val="2"/>
          </rPr>
          <t>Fuente: Tabla de paquetes de personal suministrada por el usuario. Fecha: 5 de septiembre de 2026. Fila 9, campo 'Tax &amp; Social'. Archivo: package_source_2026-09-05.jpeg.</t>
        </r>
      </text>
    </comment>
    <comment ref="M12" authorId="0">
      <text>
        <r>
          <rPr>
            <sz val="10"/>
            <color rgb="FF000000"/>
            <rFont val="Arial"/>
            <family val="2"/>
          </rPr>
          <t>Fuente: Tabla de paquetes de personal suministrada por el usuario. Fecha: 5 de septiembre de 2026. Fila 1, campo 'TOTAL Annual Package'. Archivo: package_source_2026-09-05.jpeg.</t>
        </r>
      </text>
    </comment>
    <comment ref="M13" authorId="0">
      <text>
        <r>
          <rPr>
            <sz val="10"/>
            <color rgb="FF000000"/>
            <rFont val="Arial"/>
            <family val="2"/>
          </rPr>
          <t>Fuente: Tabla de paquetes de personal suministrada por el usuario. Fecha: 5 de septiembre de 2026. Fila 2, campo 'TOTAL Annual Package'. Archivo: package_source_2026-09-05.jpeg.</t>
        </r>
      </text>
    </comment>
    <comment ref="M14" authorId="0">
      <text>
        <r>
          <rPr>
            <sz val="10"/>
            <color rgb="FF000000"/>
            <rFont val="Arial"/>
            <family val="2"/>
          </rPr>
          <t>Fuente: Tabla de paquetes de personal suministrada por el usuario. Fecha: 5 de septiembre de 2026. Fila 3, campo 'TOTAL Annual Package'. Archivo: package_source_2026-09-05.jpeg.</t>
        </r>
      </text>
    </comment>
    <comment ref="M15" authorId="0">
      <text>
        <r>
          <rPr>
            <sz val="10"/>
            <color rgb="FF000000"/>
            <rFont val="Arial"/>
            <family val="2"/>
          </rPr>
          <t>Fuente: Tabla de paquetes de personal suministrada por el usuario. Fecha: 5 de septiembre de 2026. Fila 4, campo 'TOTAL Annual Package'. Archivo: package_source_2026-09-05.jpeg.</t>
        </r>
      </text>
    </comment>
    <comment ref="M16" authorId="0">
      <text>
        <r>
          <rPr>
            <sz val="10"/>
            <color rgb="FF000000"/>
            <rFont val="Arial"/>
            <family val="2"/>
          </rPr>
          <t>Fuente: Tabla de paquetes de personal suministrada por el usuario. Fecha: 5 de septiembre de 2026. Fila 5, campo 'TOTAL Annual Package'. Archivo: package_source_2026-09-05.jpeg.</t>
        </r>
      </text>
    </comment>
    <comment ref="M17" authorId="0">
      <text>
        <r>
          <rPr>
            <sz val="10"/>
            <color rgb="FF000000"/>
            <rFont val="Arial"/>
            <family val="2"/>
          </rPr>
          <t>Fuente: Tabla de paquetes de personal suministrada por el usuario. Fecha: 5 de septiembre de 2026. Fila 6, campo 'TOTAL Annual Package'. Archivo: package_source_2026-09-05.jpeg.</t>
        </r>
      </text>
    </comment>
    <comment ref="M18" authorId="0">
      <text>
        <r>
          <rPr>
            <sz val="10"/>
            <color rgb="FF000000"/>
            <rFont val="Arial"/>
            <family val="2"/>
          </rPr>
          <t>Fuente: Tabla de paquetes de personal suministrada por el usuario. Fecha: 5 de septiembre de 2026. Fila 7, campo 'TOTAL Annual Package'. Archivo: package_source_2026-09-05.jpeg.</t>
        </r>
      </text>
    </comment>
    <comment ref="M19" authorId="0">
      <text>
        <r>
          <rPr>
            <sz val="10"/>
            <color rgb="FF000000"/>
            <rFont val="Arial"/>
            <family val="2"/>
          </rPr>
          <t>Fuente: Tabla de paquetes de personal suministrada por el usuario. Fecha: 5 de septiembre de 2026. Fila 8, campo 'TOTAL Annual Package'. Archivo: package_source_2026-09-05.jpeg.</t>
        </r>
      </text>
    </comment>
    <comment ref="M20" authorId="0">
      <text>
        <r>
          <rPr>
            <sz val="10"/>
            <color rgb="FF000000"/>
            <rFont val="Arial"/>
            <family val="2"/>
          </rPr>
          <t>Fuente: Tabla de paquetes de personal suministrada por el usuario. Fecha: 5 de septiembre de 2026. Fila 9, campo 'TOTAL Annual Package'. Archivo: package_source_2026-09-05.jpeg.</t>
        </r>
      </text>
    </comment>
    <comment ref="V12" authorId="0">
      <text>
        <r>
          <rPr>
            <sz val="10"/>
            <color rgb="FF000000"/>
            <rFont val="Arial"/>
            <family val="2"/>
          </rPr>
          <t>Fuente: supuesto presupuestario del modelo preparado el 5 de septiembre de 2026. Clasificación inicial conservadora: se mantiene el paquete fuente hasta que la gerencia designe quién será repatriado.</t>
        </r>
      </text>
    </comment>
    <comment ref="V13" authorId="0">
      <text>
        <r>
          <rPr>
            <sz val="10"/>
            <color rgb="FF000000"/>
            <rFont val="Arial"/>
            <family val="2"/>
          </rPr>
          <t>Fuente: supuesto presupuestario del modelo preparado el 5 de septiembre de 2026. Clasificación inicial conservadora: se mantiene el paquete fuente hasta que la gerencia designe quién será repatriado.</t>
        </r>
      </text>
    </comment>
    <comment ref="V14" authorId="0">
      <text>
        <r>
          <rPr>
            <sz val="10"/>
            <color rgb="FF000000"/>
            <rFont val="Arial"/>
            <family val="2"/>
          </rPr>
          <t>Fuente: supuesto presupuestario del modelo preparado el 5 de septiembre de 2026. Clasificación inicial conservadora: se mantiene el paquete fuente hasta que la gerencia designe quién será repatriado.</t>
        </r>
      </text>
    </comment>
    <comment ref="V15" authorId="0">
      <text>
        <r>
          <rPr>
            <sz val="10"/>
            <color rgb="FF000000"/>
            <rFont val="Arial"/>
            <family val="2"/>
          </rPr>
          <t>Fuente: supuesto presupuestario del modelo preparado el 5 de septiembre de 2026. Clasificación inicial conservadora: se mantiene el paquete fuente hasta que la gerencia designe quién será repatriado.</t>
        </r>
      </text>
    </comment>
    <comment ref="V16" authorId="0">
      <text>
        <r>
          <rPr>
            <sz val="10"/>
            <color rgb="FF000000"/>
            <rFont val="Arial"/>
            <family val="2"/>
          </rPr>
          <t>Fuente: supuesto presupuestario del modelo preparado el 5 de septiembre de 2026. Clasificación inicial conservadora: se mantiene el paquete fuente hasta que la gerencia designe quién será repatriado.</t>
        </r>
      </text>
    </comment>
    <comment ref="V17" authorId="0">
      <text>
        <r>
          <rPr>
            <sz val="10"/>
            <color rgb="FF000000"/>
            <rFont val="Arial"/>
            <family val="2"/>
          </rPr>
          <t>Fuente: supuesto presupuestario del modelo preparado el 5 de septiembre de 2026. Clasificación inicial conservadora: se mantiene el paquete fuente hasta que la gerencia designe quién será repatriado.</t>
        </r>
      </text>
    </comment>
    <comment ref="V18" authorId="0">
      <text>
        <r>
          <rPr>
            <sz val="10"/>
            <color rgb="FF000000"/>
            <rFont val="Arial"/>
            <family val="2"/>
          </rPr>
          <t>Fuente: supuesto presupuestario del modelo preparado el 5 de septiembre de 2026. Clasificación inicial conservadora: se mantiene el paquete fuente hasta que la gerencia designe quién será repatriado.</t>
        </r>
      </text>
    </comment>
    <comment ref="V19" authorId="0">
      <text>
        <r>
          <rPr>
            <sz val="10"/>
            <color rgb="FF000000"/>
            <rFont val="Arial"/>
            <family val="2"/>
          </rPr>
          <t>Fuente: supuesto presupuestario del modelo preparado el 5 de septiembre de 2026. Clasificación inicial conservadora: se mantiene el paquete fuente hasta que la gerencia designe quién será repatriado.</t>
        </r>
      </text>
    </comment>
    <comment ref="V20" authorId="0">
      <text>
        <r>
          <rPr>
            <sz val="10"/>
            <color rgb="FF000000"/>
            <rFont val="Arial"/>
            <family val="2"/>
          </rPr>
          <t>Fuente: supuesto presupuestario del modelo preparado el 5 de septiembre de 2026. Clasificación inicial conservadora: se mantiene el paquete fuente hasta que la gerencia designe quién será repatriado.</t>
        </r>
      </text>
    </comment>
    <comment ref="W12" authorId="0">
      <text>
        <r>
          <rPr>
            <sz val="10"/>
            <color rgb="FF000000"/>
            <rFont val="Arial"/>
            <family val="2"/>
          </rPr>
          <t>Fuente: supuesto presupuestario del modelo preparado el 5 de septiembre de 2026. La ciudad debe decidirse para aplicar la política de vivienda.</t>
        </r>
      </text>
    </comment>
    <comment ref="W13" authorId="0">
      <text>
        <r>
          <rPr>
            <sz val="10"/>
            <color rgb="FF000000"/>
            <rFont val="Arial"/>
            <family val="2"/>
          </rPr>
          <t>Fuente: supuesto presupuestario del modelo preparado el 5 de septiembre de 2026. La ciudad debe decidirse para aplicar la política de vivienda.</t>
        </r>
      </text>
    </comment>
    <comment ref="W14" authorId="0">
      <text>
        <r>
          <rPr>
            <sz val="10"/>
            <color rgb="FF000000"/>
            <rFont val="Arial"/>
            <family val="2"/>
          </rPr>
          <t>Fuente: supuesto presupuestario del modelo preparado el 5 de septiembre de 2026. La ciudad debe decidirse para aplicar la política de vivienda.</t>
        </r>
      </text>
    </comment>
    <comment ref="W15" authorId="0">
      <text>
        <r>
          <rPr>
            <sz val="10"/>
            <color rgb="FF000000"/>
            <rFont val="Arial"/>
            <family val="2"/>
          </rPr>
          <t>Fuente: supuesto presupuestario del modelo preparado el 5 de septiembre de 2026. La ciudad debe decidirse para aplicar la política de vivienda.</t>
        </r>
      </text>
    </comment>
    <comment ref="W16" authorId="0">
      <text>
        <r>
          <rPr>
            <sz val="10"/>
            <color rgb="FF000000"/>
            <rFont val="Arial"/>
            <family val="2"/>
          </rPr>
          <t>Fuente: supuesto presupuestario del modelo preparado el 5 de septiembre de 2026. La ciudad debe decidirse para aplicar la política de vivienda.</t>
        </r>
      </text>
    </comment>
    <comment ref="W17" authorId="0">
      <text>
        <r>
          <rPr>
            <sz val="10"/>
            <color rgb="FF000000"/>
            <rFont val="Arial"/>
            <family val="2"/>
          </rPr>
          <t>Fuente: supuesto presupuestario del modelo preparado el 5 de septiembre de 2026. La ciudad debe decidirse para aplicar la política de vivienda.</t>
        </r>
      </text>
    </comment>
    <comment ref="W18" authorId="0">
      <text>
        <r>
          <rPr>
            <sz val="10"/>
            <color rgb="FF000000"/>
            <rFont val="Arial"/>
            <family val="2"/>
          </rPr>
          <t>Fuente: supuesto presupuestario del modelo preparado el 5 de septiembre de 2026. La ciudad debe decidirse para aplicar la política de vivienda.</t>
        </r>
      </text>
    </comment>
    <comment ref="W19" authorId="0">
      <text>
        <r>
          <rPr>
            <sz val="10"/>
            <color rgb="FF000000"/>
            <rFont val="Arial"/>
            <family val="2"/>
          </rPr>
          <t>Fuente: supuesto presupuestario del modelo preparado el 5 de septiembre de 2026. La ciudad debe decidirse para aplicar la política de vivienda.</t>
        </r>
      </text>
    </comment>
    <comment ref="W20" authorId="0">
      <text>
        <r>
          <rPr>
            <sz val="10"/>
            <color rgb="FF000000"/>
            <rFont val="Arial"/>
            <family val="2"/>
          </rPr>
          <t>Fuente: supuesto presupuestario del modelo preparado el 5 de septiembre de 2026. La ciudad debe decidirse para aplicar la política de vivienda.</t>
        </r>
      </text>
    </comment>
    <comment ref="X12" authorId="0">
      <text>
        <r>
          <rPr>
            <sz val="10"/>
            <color rgb="FF000000"/>
            <rFont val="Arial"/>
            <family val="2"/>
          </rPr>
          <t>Fuente: supuesto presupuestario del modelo preparado el 5 de septiembre de 2026. Usa la política de ciudad de la hoja Supuestos; puede reemplazarse por Sí o No.</t>
        </r>
      </text>
    </comment>
    <comment ref="X13" authorId="0">
      <text>
        <r>
          <rPr>
            <sz val="10"/>
            <color rgb="FF000000"/>
            <rFont val="Arial"/>
            <family val="2"/>
          </rPr>
          <t>Fuente: supuesto presupuestario del modelo preparado el 5 de septiembre de 2026. Usa la política de ciudad de la hoja Supuestos; puede reemplazarse por Sí o No.</t>
        </r>
      </text>
    </comment>
    <comment ref="X14" authorId="0">
      <text>
        <r>
          <rPr>
            <sz val="10"/>
            <color rgb="FF000000"/>
            <rFont val="Arial"/>
            <family val="2"/>
          </rPr>
          <t>Fuente: supuesto presupuestario del modelo preparado el 5 de septiembre de 2026. Usa la política de ciudad de la hoja Supuestos; puede reemplazarse por Sí o No.</t>
        </r>
      </text>
    </comment>
    <comment ref="X15" authorId="0">
      <text>
        <r>
          <rPr>
            <sz val="10"/>
            <color rgb="FF000000"/>
            <rFont val="Arial"/>
            <family val="2"/>
          </rPr>
          <t>Fuente: supuesto presupuestario del modelo preparado el 5 de septiembre de 2026. Usa la política de ciudad de la hoja Supuestos; puede reemplazarse por Sí o No.</t>
        </r>
      </text>
    </comment>
    <comment ref="X16" authorId="0">
      <text>
        <r>
          <rPr>
            <sz val="10"/>
            <color rgb="FF000000"/>
            <rFont val="Arial"/>
            <family val="2"/>
          </rPr>
          <t>Fuente: supuesto presupuestario del modelo preparado el 5 de septiembre de 2026. Usa la política de ciudad de la hoja Supuestos; puede reemplazarse por Sí o No.</t>
        </r>
      </text>
    </comment>
    <comment ref="X17" authorId="0">
      <text>
        <r>
          <rPr>
            <sz val="10"/>
            <color rgb="FF000000"/>
            <rFont val="Arial"/>
            <family val="2"/>
          </rPr>
          <t>Fuente: supuesto presupuestario del modelo preparado el 5 de septiembre de 2026. Usa la política de ciudad de la hoja Supuestos; puede reemplazarse por Sí o No.</t>
        </r>
      </text>
    </comment>
    <comment ref="X18" authorId="0">
      <text>
        <r>
          <rPr>
            <sz val="10"/>
            <color rgb="FF000000"/>
            <rFont val="Arial"/>
            <family val="2"/>
          </rPr>
          <t>Fuente: supuesto presupuestario del modelo preparado el 5 de septiembre de 2026. Usa la política de ciudad de la hoja Supuestos; puede reemplazarse por Sí o No.</t>
        </r>
      </text>
    </comment>
    <comment ref="X19" authorId="0">
      <text>
        <r>
          <rPr>
            <sz val="10"/>
            <color rgb="FF000000"/>
            <rFont val="Arial"/>
            <family val="2"/>
          </rPr>
          <t>Fuente: supuesto presupuestario del modelo preparado el 5 de septiembre de 2026. Usa la política de ciudad de la hoja Supuestos; puede reemplazarse por Sí o No.</t>
        </r>
      </text>
    </comment>
    <comment ref="X20" authorId="0">
      <text>
        <r>
          <rPr>
            <sz val="10"/>
            <color rgb="FF000000"/>
            <rFont val="Arial"/>
            <family val="2"/>
          </rPr>
          <t>Fuente: supuesto presupuestario del modelo preparado el 5 de septiembre de 2026. Usa la política de ciudad de la hoja Supuestos; puede reemplazarse por Sí o No.</t>
        </r>
      </text>
    </comment>
    <comment ref="Z12" authorId="0">
      <text>
        <r>
          <rPr>
            <sz val="10"/>
            <color rgb="FF000000"/>
            <rFont val="Arial"/>
            <family val="2"/>
          </rPr>
          <t>Fuente: supuesto presupuestario del modelo preparado el 5 de septiembre de 2026. Entrada pendiente de cotizaciones: mudanza, viaje, permisos, asesoría, alojamiento temporal y settling-in.</t>
        </r>
      </text>
    </comment>
    <comment ref="Z13" authorId="0">
      <text>
        <r>
          <rPr>
            <sz val="10"/>
            <color rgb="FF000000"/>
            <rFont val="Arial"/>
            <family val="2"/>
          </rPr>
          <t>Fuente: supuesto presupuestario del modelo preparado el 5 de septiembre de 2026. Entrada pendiente de cotizaciones: mudanza, viaje, permisos, asesoría, alojamiento temporal y settling-in.</t>
        </r>
      </text>
    </comment>
    <comment ref="Z14" authorId="0">
      <text>
        <r>
          <rPr>
            <sz val="10"/>
            <color rgb="FF000000"/>
            <rFont val="Arial"/>
            <family val="2"/>
          </rPr>
          <t>Fuente: supuesto presupuestario del modelo preparado el 5 de septiembre de 2026. Entrada pendiente de cotizaciones: mudanza, viaje, permisos, asesoría, alojamiento temporal y settling-in.</t>
        </r>
      </text>
    </comment>
    <comment ref="Z15" authorId="0">
      <text>
        <r>
          <rPr>
            <sz val="10"/>
            <color rgb="FF000000"/>
            <rFont val="Arial"/>
            <family val="2"/>
          </rPr>
          <t>Fuente: supuesto presupuestario del modelo preparado el 5 de septiembre de 2026. Entrada pendiente de cotizaciones: mudanza, viaje, permisos, asesoría, alojamiento temporal y settling-in.</t>
        </r>
      </text>
    </comment>
    <comment ref="Z16" authorId="0">
      <text>
        <r>
          <rPr>
            <sz val="10"/>
            <color rgb="FF000000"/>
            <rFont val="Arial"/>
            <family val="2"/>
          </rPr>
          <t>Fuente: supuesto presupuestario del modelo preparado el 5 de septiembre de 2026. Entrada pendiente de cotizaciones: mudanza, viaje, permisos, asesoría, alojamiento temporal y settling-in.</t>
        </r>
      </text>
    </comment>
    <comment ref="Z17" authorId="0">
      <text>
        <r>
          <rPr>
            <sz val="10"/>
            <color rgb="FF000000"/>
            <rFont val="Arial"/>
            <family val="2"/>
          </rPr>
          <t>Fuente: supuesto presupuestario del modelo preparado el 5 de septiembre de 2026. Entrada pendiente de cotizaciones: mudanza, viaje, permisos, asesoría, alojamiento temporal y settling-in.</t>
        </r>
      </text>
    </comment>
    <comment ref="Z18" authorId="0">
      <text>
        <r>
          <rPr>
            <sz val="10"/>
            <color rgb="FF000000"/>
            <rFont val="Arial"/>
            <family val="2"/>
          </rPr>
          <t>Fuente: supuesto presupuestario del modelo preparado el 5 de septiembre de 2026. Entrada pendiente de cotizaciones: mudanza, viaje, permisos, asesoría, alojamiento temporal y settling-in.</t>
        </r>
      </text>
    </comment>
    <comment ref="Z19" authorId="0">
      <text>
        <r>
          <rPr>
            <sz val="10"/>
            <color rgb="FF000000"/>
            <rFont val="Arial"/>
            <family val="2"/>
          </rPr>
          <t>Fuente: supuesto presupuestario del modelo preparado el 5 de septiembre de 2026. Entrada pendiente de cotizaciones: mudanza, viaje, permisos, asesoría, alojamiento temporal y settling-in.</t>
        </r>
      </text>
    </comment>
    <comment ref="Z20" authorId="0">
      <text>
        <r>
          <rPr>
            <sz val="10"/>
            <color rgb="FF000000"/>
            <rFont val="Arial"/>
            <family val="2"/>
          </rPr>
          <t>Fuente: supuesto presupuestario del modelo preparado el 5 de septiembre de 2026. Entrada pendiente de cotizaciones: mudanza, viaje, permisos, asesoría, alojamiento temporal y settling-in.</t>
        </r>
      </text>
    </comment>
  </commentList>
</comments>
</file>

<file path=xl/sharedStrings.xml><?xml version="1.0" encoding="utf-8"?>
<sst xmlns="http://schemas.openxmlformats.org/spreadsheetml/2006/main" count="227" uniqueCount="227">
  <si>
    <t>Resumen ejecutivo — Paquetes de personal</t>
  </si>
  <si>
    <t>Presupuesto por persona en dos etapas y escenarios de decisión desde el mes 7</t>
  </si>
  <si>
    <t>USD | Escenarios de repatriación excluyen costos únicos de transición hasta recibir cotizaciones</t>
  </si>
  <si>
    <t>INDICADORES DEL ESCENARIO SELECCIONADO</t>
  </si>
  <si>
    <t>Indicador</t>
  </si>
  <si>
    <t>Valor</t>
  </si>
  <si>
    <t>Interpretación</t>
  </si>
  <si>
    <t>Fuente</t>
  </si>
  <si>
    <t>Estado</t>
  </si>
  <si>
    <t>Costo anual original</t>
  </si>
  <si>
    <t>Paquete anual fuente para 9 posiciones</t>
  </si>
  <si>
    <t>Tabla suministrada</t>
  </si>
  <si>
    <t>Referencia</t>
  </si>
  <si>
    <t>Etapa 1 — Consultor M1–M6</t>
  </si>
  <si>
    <t>Todos los componentes no fiscales prorrateados por seis meses</t>
  </si>
  <si>
    <t>Modelo</t>
  </si>
  <si>
    <t>Calculado</t>
  </si>
  <si>
    <t>Etapa 2 — Selección M7–M12</t>
  </si>
  <si>
    <t>Paquete y ciudad elegidos por persona, más costos únicos</t>
  </si>
  <si>
    <t>Pendiente de decisiones</t>
  </si>
  <si>
    <t>Costo total Año 1</t>
  </si>
  <si>
    <t>Etapa 1 + etapa 2 seleccionada</t>
  </si>
  <si>
    <t>Ahorro / (sobrecosto) vs. fuente</t>
  </si>
  <si>
    <t>Costo anual original menos Año 1 seleccionado</t>
  </si>
  <si>
    <t>Run-rate anual desde M13</t>
  </si>
  <si>
    <t>Costo anual recurrente posterior a la transición</t>
  </si>
  <si>
    <t>Personas con decisión pendiente</t>
  </si>
  <si>
    <t>Requieren paquete, ciudad o vivienda</t>
  </si>
  <si>
    <t>Acción requerida</t>
  </si>
  <si>
    <t>COMPARACIÓN DE ESCENARIOS — 9 POSICIONES</t>
  </si>
  <si>
    <t>Escenario</t>
  </si>
  <si>
    <t>Etapa 1 M1–M6</t>
  </si>
  <si>
    <t>Etapa 2 M7–M12</t>
  </si>
  <si>
    <t>Costo Año 1</t>
  </si>
  <si>
    <t>Ahorro vs. fuente</t>
  </si>
  <si>
    <t>Run-rate M13+</t>
  </si>
  <si>
    <t>Selección actual por persona</t>
  </si>
  <si>
    <t>Todos expatriados — empresa cubre impuesto</t>
  </si>
  <si>
    <t>Todos repatriados — con housing; empleado paga impuesto</t>
  </si>
  <si>
    <t>Todos repatriados — sin housing; empleado paga impuesto</t>
  </si>
  <si>
    <t>DETALLE EJECUTIVO POR PERSONA</t>
  </si>
  <si>
    <t>Person</t>
  </si>
  <si>
    <t>Position</t>
  </si>
  <si>
    <t>Package M7+</t>
  </si>
  <si>
    <t>City</t>
  </si>
  <si>
    <t>Stage 1</t>
  </si>
  <si>
    <t>Stage 2</t>
  </si>
  <si>
    <t>Year 1</t>
  </si>
  <si>
    <t>Martin del Castillo</t>
  </si>
  <si>
    <t>COO / PU General Manager</t>
  </si>
  <si>
    <t>Expatriado</t>
  </si>
  <si>
    <t>Por definir</t>
  </si>
  <si>
    <t>Juan Conde</t>
  </si>
  <si>
    <t>EPCM &amp; Engineering Manager</t>
  </si>
  <si>
    <t>Repatriado</t>
  </si>
  <si>
    <t>Alexander Stulme</t>
  </si>
  <si>
    <t>Drilling &amp; Well Services Manager</t>
  </si>
  <si>
    <t>Repatraido</t>
  </si>
  <si>
    <t>Félix Valderrama</t>
  </si>
  <si>
    <t>Operations &amp; Maintenance Manager</t>
  </si>
  <si>
    <t xml:space="preserve">Repatriado </t>
  </si>
  <si>
    <t>Alan McKeon</t>
  </si>
  <si>
    <t>Technical Manager (Geosciences)</t>
  </si>
  <si>
    <t>JJI</t>
  </si>
  <si>
    <t>Reservoir Engineer</t>
  </si>
  <si>
    <t xml:space="preserve">Remote </t>
  </si>
  <si>
    <t>Marcelo Dantas</t>
  </si>
  <si>
    <t>Rig Company Man</t>
  </si>
  <si>
    <t xml:space="preserve">on rotation </t>
  </si>
  <si>
    <t>Jose Miguel</t>
  </si>
  <si>
    <t>Planning &amp; PMO</t>
  </si>
  <si>
    <t>local</t>
  </si>
  <si>
    <t>TBD</t>
  </si>
  <si>
    <t>Operations Support</t>
  </si>
  <si>
    <t xml:space="preserve">local </t>
  </si>
  <si>
    <t>DECISIONES NECESARIAS</t>
  </si>
  <si>
    <t>1. Designar por persona si desde el mes 7 será Repatriado o Expatriado.</t>
  </si>
  <si>
    <t>2. Confirmar ciudad de residencia: Caracas, Maracaibo u otra.</t>
  </si>
  <si>
    <t>3. Validar la política inicial: Caracas con housing; Maracaibo sin housing para repatriados.</t>
  </si>
  <si>
    <t>4. Confirmar por escrito que el expatriado recibe protección / gross-up fiscal y que el repatriado asume su impuesto personal.</t>
  </si>
  <si>
    <t>5. Incorporar costos únicos cotizados y obtener dictamen escrito de inmigración, laboral y fiscal.</t>
  </si>
  <si>
    <t>Supuestos y política de paquetes</t>
  </si>
  <si>
    <t>Variables editables para el modelo de compensación en dos etapas</t>
  </si>
  <si>
    <t>USD, salvo indicación contraria | Celdas azules = entradas editables</t>
  </si>
  <si>
    <t>SUPUESTOS DE DURACIÓN Y FISCALIDAD</t>
  </si>
  <si>
    <t>Meses de la etapa 1 — Consultor</t>
  </si>
  <si>
    <t>Meses de la etapa 2 — Repatriado / Expatriado</t>
  </si>
  <si>
    <t>Factor de Tax &amp; Social en la etapa 1</t>
  </si>
  <si>
    <t>Factor de Tax &amp; Social pagado por la empresa — Repatriado M7+</t>
  </si>
  <si>
    <t>Factor de Tax &amp; Social pagado por la empresa — Expatriado M7+</t>
  </si>
  <si>
    <t>POLÍTICA AUTOMÁTICA DE VIVIENDA POR CIUDAD</t>
  </si>
  <si>
    <t>Ciudad</t>
  </si>
  <si>
    <t>Housing automático</t>
  </si>
  <si>
    <t>Racional presupuestario</t>
  </si>
  <si>
    <t>Editable</t>
  </si>
  <si>
    <t>Caracas</t>
  </si>
  <si>
    <t>Sí</t>
  </si>
  <si>
    <t>Se presupone allowance si la persona debe residir en Caracas.</t>
  </si>
  <si>
    <t>Maracaibo</t>
  </si>
  <si>
    <t>No</t>
  </si>
  <si>
    <t>Se presupone sin allowance para repatriados radicados en Maracaibo.</t>
  </si>
  <si>
    <t>Otro</t>
  </si>
  <si>
    <t>Enfoque conservador hasta confirmar alojamiento.</t>
  </si>
  <si>
    <t>El cálculo conservador incluye vivienda si el paquete es repatriado.</t>
  </si>
  <si>
    <t>COMPONENTES DE CADA PAQUETE</t>
  </si>
  <si>
    <t>Componente</t>
  </si>
  <si>
    <t>Consultor M1–M6</t>
  </si>
  <si>
    <t>Repatriado M7+</t>
  </si>
  <si>
    <t>Expatriado M7+</t>
  </si>
  <si>
    <t>Criterio</t>
  </si>
  <si>
    <t>Observación</t>
  </si>
  <si>
    <t>Compensación base</t>
  </si>
  <si>
    <t>Sí — honorario prorrateado</t>
  </si>
  <si>
    <t>Sí — salario local</t>
  </si>
  <si>
    <t>Sí — salario base</t>
  </si>
  <si>
    <t>Valor fuente por persona</t>
  </si>
  <si>
    <t>El modelo usa 6/12 del importe anual en cada etapa.</t>
  </si>
  <si>
    <t>Housing</t>
  </si>
  <si>
    <t>Condicional por ciudad / override</t>
  </si>
  <si>
    <t>Caracas = Sí y Maracaibo = No como política inicial editable.</t>
  </si>
  <si>
    <t>Seguro médico</t>
  </si>
  <si>
    <t>Prorrateado por meses.</t>
  </si>
  <si>
    <t>Home leave</t>
  </si>
  <si>
    <t>Se elimina en el paquete de repatriado.</t>
  </si>
  <si>
    <t>Vehículo</t>
  </si>
  <si>
    <t>Impuesto del país de trabajo</t>
  </si>
  <si>
    <t>No cubierto en el modelo</t>
  </si>
  <si>
    <t>Lo asume el empleado</t>
  </si>
  <si>
    <t>Lo cubre / neutraliza la empresa</t>
  </si>
  <si>
    <t>Factores editables</t>
  </si>
  <si>
    <t>Repatriado: factor empresa 0%; expatriado: factor empresa 100% por defecto.</t>
  </si>
  <si>
    <t>Costos únicos de transición</t>
  </si>
  <si>
    <t>No incluidos</t>
  </si>
  <si>
    <t>Entrada individual</t>
  </si>
  <si>
    <t>Cotizaciones pendientes</t>
  </si>
  <si>
    <t>El modelo parte de $0 hasta recibir presupuestos de viaje, mudanza, permisos y alojamiento temporal.</t>
  </si>
  <si>
    <t>ADVERTENCIA DE CUMPLIMIENTO</t>
  </si>
  <si>
    <t>El tratamiento de los meses 1–6 como consultoría sin Tax &amp; Social venezolano es un supuesto presupuestario indicado por la gerencia, no una conclusión jurídica. La condición migratoria de turista no acredita por sí sola autorización para trabajar ni exención fiscal. Antes de implementar el esquema, se requiere validación escrita de asesores venezolanos de inmigración, derecho laboral, nómina y tributos.</t>
  </si>
  <si>
    <t>Modelo de paquetes por persona</t>
  </si>
  <si>
    <t>Etapa 1: seis meses como consultor | Etapa 2: repatriado o expatriado desde el mes 7</t>
  </si>
  <si>
    <t>USD | Celdas azules = datos fuente o decisiones editables; fórmulas verdes = vínculos a Supuestos</t>
  </si>
  <si>
    <t>BASE DE COMPENSACIÓN Y CÁLCULO POR PERSONA</t>
  </si>
  <si>
    <t>#</t>
  </si>
  <si>
    <t>Base Salary
Annual</t>
  </si>
  <si>
    <t>Housing
Annual</t>
  </si>
  <si>
    <t>Medical
Annual</t>
  </si>
  <si>
    <t>Home Leave
Annual</t>
  </si>
  <si>
    <t>Vehicle
Annual</t>
  </si>
  <si>
    <t>Tax &amp; Social
Annual</t>
  </si>
  <si>
    <t>Calculated
Annual</t>
  </si>
  <si>
    <t>Stated
Annual</t>
  </si>
  <si>
    <t>Variance</t>
  </si>
  <si>
    <t>Consulting Fee
M1–M6</t>
  </si>
  <si>
    <t>Housing
M1–M6</t>
  </si>
  <si>
    <t>Medical
M1–M6</t>
  </si>
  <si>
    <t>Home Leave
M1–M6</t>
  </si>
  <si>
    <t>Vehicle
M1–M6</t>
  </si>
  <si>
    <t>Tax &amp; Social
M1–M6</t>
  </si>
  <si>
    <t>Stage 1
Total</t>
  </si>
  <si>
    <t>Package
M7+</t>
  </si>
  <si>
    <t>City
M7+</t>
  </si>
  <si>
    <t>Housing
Override</t>
  </si>
  <si>
    <t>Housing
Final</t>
  </si>
  <si>
    <t>One-time
Transition</t>
  </si>
  <si>
    <t>Stage 2 Recurring
M7–M12</t>
  </si>
  <si>
    <t>Stage 2
Total</t>
  </si>
  <si>
    <t>Year 1
Total</t>
  </si>
  <si>
    <t>Savings vs.
Source</t>
  </si>
  <si>
    <t>Annual Run-rate
M13+</t>
  </si>
  <si>
    <t>Decision
Status</t>
  </si>
  <si>
    <t>Monthly Cost
M1–M6</t>
  </si>
  <si>
    <t>Selected Monthly
M7+</t>
  </si>
  <si>
    <t>M7 incl.
Transition</t>
  </si>
  <si>
    <t>Automático</t>
  </si>
  <si>
    <t>Definir ciudad</t>
  </si>
  <si>
    <t>Leticia Almeida</t>
  </si>
  <si>
    <t>TOTAL — 9 POSICIONES</t>
  </si>
  <si>
    <t>Costo mensual por persona</t>
  </si>
  <si>
    <t>M1–M6 como consultor | M7–M12 según paquete seleccionado; los costos únicos se cargan en M7</t>
  </si>
  <si>
    <t>USD | Expatriado: empresa cubre / neutraliza impuesto del país de trabajo; Repatriado: empleado asume su impuesto personal</t>
  </si>
  <si>
    <t>DETALLE MENSUAL POR PERSONA — ESCENARIO SELECCIONADO</t>
  </si>
  <si>
    <t>M1</t>
  </si>
  <si>
    <t>M2</t>
  </si>
  <si>
    <t>M3</t>
  </si>
  <si>
    <t>M4</t>
  </si>
  <si>
    <t>M5</t>
  </si>
  <si>
    <t>M6</t>
  </si>
  <si>
    <t>M7</t>
  </si>
  <si>
    <t>M8</t>
  </si>
  <si>
    <t>M9</t>
  </si>
  <si>
    <t>M10</t>
  </si>
  <si>
    <t>M11</t>
  </si>
  <si>
    <t>M12</t>
  </si>
  <si>
    <t>Tratamiento fiscal M7+</t>
  </si>
  <si>
    <t>Empresa cubre / neutraliza impuesto del país de trabajo</t>
  </si>
  <si>
    <t>COSTO TOTAL POR MES — COMPARACIÓN DE ESCENARIOS</t>
  </si>
  <si>
    <t>Tratamiento fiscal desde M7</t>
  </si>
  <si>
    <t>Según selección individual</t>
  </si>
  <si>
    <t>Todos expatriados</t>
  </si>
  <si>
    <t>Todos repatriados — con housing</t>
  </si>
  <si>
    <t>Empleado asume impuesto personal</t>
  </si>
  <si>
    <t>Todos repatriados — sin housing</t>
  </si>
  <si>
    <t>Definición de los paquetes</t>
  </si>
  <si>
    <t>Alcance presupuestario, criterios de clasificación y elementos de transición</t>
  </si>
  <si>
    <t>Documento de trabajo institucional — sujeto a aprobación legal, fiscal y de Recursos Humanos</t>
  </si>
  <si>
    <t>PAQUETE CONSULTOR — MESES 1 A 6</t>
  </si>
  <si>
    <t>• Relación presupuestaria: honorario de consultoría equivalente a 6/12 del salario base anual de referencia.</t>
  </si>
  <si>
    <t>• Beneficios / reembolsos incluidos: housing, seguro médico, home leave y vehículo, todos prorrateados por seis meses.</t>
  </si>
  <si>
    <t>• Tax &amp; Social venezolano: factor 0% por instrucción gerencial. No constituye opinión jurídica ni fiscal.</t>
  </si>
  <si>
    <t>• Contrato: debe documentar entregables, facturación, moneda, reembolsos, seguros y terminación, sin crear una clasificación laboral incorrecta.</t>
  </si>
  <si>
    <t>PAQUETE REPATRIADO — DESDE EL MES 7</t>
  </si>
  <si>
    <t>• Compensación recurrente pagada por la empresa: salario base, seguro médico y vehículo.</t>
  </si>
  <si>
    <t>• Impuesto personal: lo asume el repatriado. El factor de Tax &amp; Social pagado por la empresa es 0% por defecto, salvo cargas patronales obligatorias.</t>
  </si>
  <si>
    <t>• Housing: condicional. Política inicial editable: Caracas = Sí; Maracaibo = No. Un override individual prevalece sobre la regla automática.</t>
  </si>
  <si>
    <t>• Home leave: no se incluye, porque la persona pasa a una condición local / repatriada.</t>
  </si>
  <si>
    <t>• Costos únicos: viaje de retorno, mudanza de efectos personales, permisos, asesoría, alojamiento temporal y settling-in. Se mantienen en $0 hasta contar con cotizaciones.</t>
  </si>
  <si>
    <t>• Uso recomendado: personas que pasan a nómina local venezolana o retornan permanentemente bajo condiciones locales.</t>
  </si>
  <si>
    <t>PAQUETE EXPATRIADO — DESDE EL MES 7</t>
  </si>
  <si>
    <t>• Compensación recurrente: salario base, housing, seguro médico, home leave y vehículo.</t>
  </si>
  <si>
    <t>• Protección fiscal: la empresa cubre o neutraliza el impuesto del país de trabajo mediante pago, gross-up o tax equalization; el factor presupuestario es 100% del Tax &amp; Social fuente.</t>
  </si>
  <si>
    <t>• Costos únicos: incorporar, cuando correspondan, regularización migratoria, asesoría fiscal, alojamiento temporal y otros costos de movilidad no incluidos en la tabla fuente.</t>
  </si>
  <si>
    <t>• Uso recomendado: personas que conservan una asignación internacional, vínculo de empleo extranjero o política de tax equalization / gross-up.</t>
  </si>
  <si>
    <t>CRITERIOS DE DECISIÓN POR PERSONA</t>
  </si>
  <si>
    <t>• País y entidad empleadora; nacionalidad y residencia fiscal; duración esperada de la asignación; dependientes acompañantes; ciudad de residencia; disponibilidad de vivienda propia; y política corporativa aplicable.</t>
  </si>
  <si>
    <t>• La decisión no debe basarse solamente en el costo. Debe ser consistente con permisos de trabajo, nómina, seguridad social, retenciones y obligaciones de reporte.</t>
  </si>
  <si>
    <t>NOTA DE CUMPLIMIENTO</t>
  </si>
  <si>
    <t>La visa o admisión como turista normalmente no debe asumirse como autorización de trabajo. Además, la ausencia de una carga fiscal venezolana no puede determinarse únicamente por los primeros seis meses o por el estatus migratorio. El archivo es una herramienta de presupuesto: antes de contratar, movilizar o pagar, solicitar un dictamen local escrito sobre inmigración, clasificación laboral, establecimiento permanente, retenciones, impuesto sobre la renta y seguridad social.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</si>
</sst>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3762" formatCode="\$#,##0.0;&quot;($&quot;#,##0.0\);\-"/>
    <numFmt numFmtId="3765" formatCode="#,##0.0;\(#,##0.0\);\-"/>
    <numFmt numFmtId="3773" formatCode="#,##0.0%"/>
  </numFmts>
  <fonts count="14">
    <font>
      <b val="0"/>
      <i val="0"/>
      <sz val="11"/>
      <color theme="1"/>
      <name val="Calibri"/>
    </font>
    <font>
      <b val="0"/>
      <i val="0"/>
      <sz val="10"/>
      <color auto="1"/>
      <name val="Arial"/>
    </font>
    <font>
      <b/>
      <i val="0"/>
      <sz val="16"/>
      <color rgb="FFFFFFFF"/>
      <name val="Arial"/>
    </font>
    <font>
      <b/>
      <i val="0"/>
      <sz val="11"/>
      <color rgb="FF000000"/>
      <name val="Arial"/>
    </font>
    <font>
      <b val="0"/>
      <i/>
      <sz val="10"/>
      <color rgb="FF666666"/>
      <name val="Arial"/>
    </font>
    <font>
      <b/>
      <i val="0"/>
      <sz val="10"/>
      <color rgb="FF000000"/>
      <name val="Arial"/>
    </font>
    <font>
      <b/>
      <i val="0"/>
      <sz val="9"/>
      <color rgb="FFFFFFFF"/>
      <name val="Arial"/>
    </font>
    <font>
      <b/>
      <i val="0"/>
      <sz val="10"/>
      <color rgb="FF008000"/>
      <name val="Arial"/>
    </font>
    <font>
      <b val="0"/>
      <i val="0"/>
      <sz val="9"/>
      <color rgb="FF000000"/>
      <name val="Arial"/>
    </font>
    <font>
      <b val="0"/>
      <i val="0"/>
      <sz val="10"/>
      <color rgb="FF000000"/>
      <name val="Arial"/>
    </font>
    <font>
      <b val="0"/>
      <i val="0"/>
      <sz val="10"/>
      <color rgb="FF008000"/>
      <name val="Arial"/>
    </font>
    <font>
      <b val="0"/>
      <i val="0"/>
      <sz val="10"/>
      <color rgb="FF0000FF"/>
      <name val="Arial"/>
    </font>
    <font>
      <b/>
      <i val="0"/>
      <sz val="10"/>
      <color rgb="FFC00000"/>
      <name val="Arial"/>
    </font>
    <font>
      <b val="0"/>
      <i val="0"/>
      <sz val="11"/>
      <color theme="1"/>
      <name val="Calibri"/>
      <scheme val="minor"/>
    </font>
  </fonts>
  <fills count="4">
    <fill>
      <patternFill patternType="none"/>
    </fill>
    <fill>
      <patternFill patternType="gray125"/>
    </fill>
    <fill>
      <patternFill patternType="solid">
        <fgColor rgb="FF135B44"/>
      </patternFill>
    </fill>
    <fill>
      <patternFill patternType="solid">
        <fgColor rgb="FFCFE9E0"/>
      </patternFill>
    </fill>
  </fills>
  <borders count="8">
    <border>
      <left/>
      <right/>
      <top/>
      <bottom/>
    </border>
    <border>
      <left/>
      <right/>
      <top/>
      <bottom/>
      <diagonal/>
    </border>
    <border>
      <left/>
      <right/>
      <top/>
      <bottom style="medium">
        <color rgb="FF135B44"/>
      </bottom>
      <diagonal/>
    </border>
    <border>
      <left/>
      <right/>
      <top style="medium">
        <color rgb="FF135B44"/>
      </top>
      <bottom style="medium">
        <color rgb="FF135B44"/>
      </bottom>
      <diagonal/>
    </border>
    <border>
      <left/>
      <right/>
      <top/>
      <bottom style="thin">
        <color rgb="FFB7B7B7"/>
      </bottom>
      <diagonal/>
    </border>
    <border>
      <left/>
      <right/>
      <top style="thin">
        <color rgb="FFB7B7B7"/>
      </top>
      <bottom style="thin">
        <color rgb="FFB7B7B7"/>
      </bottom>
      <diagonal/>
    </border>
    <border>
      <left/>
      <right/>
      <top style="thin">
        <color rgb="FFB7B7B7"/>
      </top>
      <bottom style="thin">
        <color rgb="FF000000"/>
      </bottom>
      <diagonal/>
    </border>
    <border>
      <left/>
      <right/>
      <top style="medium">
        <color rgb="FF135B44"/>
      </top>
      <bottom style="double">
        <color rgb="FF000000"/>
      </bottom>
      <diagonal/>
    </border>
  </borders>
  <cellStyleXfs count="4">
    <xf numFmtId="0" fontId="0" fillId="0" borderId="1" applyFont="1" applyBorder="1" applyAlignment="1" applyProtection="1"/>
    <xf numFmtId="0" fontId="1" fillId="0" borderId="1" applyFont="1" applyBorder="0" applyAlignment="0" applyProtection="0"/>
    <xf numFmtId="41" fontId="1" fillId="0" borderId="1" applyFont="1" applyBorder="0" applyAlignment="0" applyProtection="0"/>
    <xf numFmtId="9" fontId="1" fillId="0" borderId="1" applyFont="1" applyBorder="0" applyAlignment="0" applyProtection="0"/>
  </cellStyleXfs>
  <cellXfs count="66">
    <xf numFmtId="0" fontId="0" fillId="0" borderId="1" xfId="0" applyFont="1" applyBorder="1" applyAlignment="1" applyProtection="1"/>
    <xf numFmtId="0" fontId="13" fillId="0" borderId="1" xfId="0">
      <alignment horizontal="center" vertical="center"/>
    </xf>
    <xf numFmtId="0" fontId="13" fillId="0" borderId="1" xfId="0">
      <alignment horizontal="center" vertical="center"/>
    </xf>
    <xf numFmtId="0" fontId="2" fillId="2" borderId="1" xfId="0">
      <alignment vertical="center"/>
    </xf>
    <xf numFmtId="0" fontId="3" fillId="0" borderId="1" xfId="0"/>
    <xf numFmtId="0" fontId="4" fillId="0" borderId="1" xfId="0"/>
    <xf numFmtId="0" fontId="5" fillId="3" borderId="2" xfId="0"/>
    <xf numFmtId="0" fontId="6" fillId="2" borderId="3" xfId="0">
      <alignment horizontal="center" vertical="center" wrapText="1"/>
    </xf>
    <xf numFmtId="0" fontId="5" fillId="0" borderId="4" xfId="0"/>
    <xf numFmtId="3762" fontId="7" fillId="0" borderId="4" xfId="0">
      <alignment horizontal="right" vertical="center"/>
    </xf>
    <xf numFmtId="0" fontId="8" fillId="0" borderId="4" xfId="0">
      <alignment horizontal="left" vertical="center" wrapText="1"/>
    </xf>
    <xf numFmtId="0" fontId="9" fillId="0" borderId="5" xfId="0"/>
    <xf numFmtId="3762" fontId="10" fillId="0" borderId="5" xfId="0">
      <alignment horizontal="right" vertical="center"/>
    </xf>
    <xf numFmtId="0" fontId="8" fillId="0" borderId="5" xfId="0">
      <alignment horizontal="left" vertical="center" wrapText="1"/>
    </xf>
    <xf numFmtId="0" fontId="5" fillId="0" borderId="5" xfId="0"/>
    <xf numFmtId="3762" fontId="7" fillId="0" borderId="5" xfId="0">
      <alignment horizontal="right" vertical="center"/>
    </xf>
    <xf numFmtId="0" fontId="9" fillId="0" borderId="6" xfId="0"/>
    <xf numFmtId="3" fontId="10" fillId="0" borderId="6" xfId="0">
      <alignment horizontal="right" vertical="center"/>
    </xf>
    <xf numFmtId="0" fontId="8" fillId="0" borderId="6" xfId="0">
      <alignment horizontal="left" vertical="center" wrapText="1"/>
    </xf>
    <xf numFmtId="0" fontId="5" fillId="0" borderId="4" xfId="0">
      <alignment horizontal="left" vertical="center"/>
    </xf>
    <xf numFmtId="3765" fontId="7" fillId="0" borderId="4" xfId="0">
      <alignment horizontal="right" vertical="center"/>
    </xf>
    <xf numFmtId="0" fontId="9" fillId="0" borderId="5" xfId="0">
      <alignment horizontal="left" vertical="center"/>
    </xf>
    <xf numFmtId="3765" fontId="10" fillId="0" borderId="5" xfId="0">
      <alignment horizontal="right" vertical="center"/>
    </xf>
    <xf numFmtId="3765" fontId="9" fillId="0" borderId="5" xfId="0">
      <alignment horizontal="right" vertical="center"/>
    </xf>
    <xf numFmtId="0" fontId="9" fillId="0" borderId="6" xfId="0">
      <alignment horizontal="left" vertical="center"/>
    </xf>
    <xf numFmtId="3762" fontId="10" fillId="0" borderId="6" xfId="0">
      <alignment horizontal="right" vertical="center"/>
    </xf>
    <xf numFmtId="3765" fontId="10" fillId="0" borderId="6" xfId="0">
      <alignment horizontal="right" vertical="center"/>
    </xf>
    <xf numFmtId="3765" fontId="9" fillId="0" borderId="6" xfId="0">
      <alignment horizontal="right" vertical="center"/>
    </xf>
    <xf numFmtId="0" fontId="10" fillId="0" borderId="4" xfId="0">
      <alignment horizontal="left" vertical="center" wrapText="1"/>
    </xf>
    <xf numFmtId="3762" fontId="10" fillId="0" borderId="4" xfId="0">
      <alignment horizontal="right" vertical="center"/>
    </xf>
    <xf numFmtId="3765" fontId="10" fillId="0" borderId="4" xfId="0">
      <alignment horizontal="right" vertical="center"/>
    </xf>
    <xf numFmtId="0" fontId="10" fillId="0" borderId="5" xfId="0">
      <alignment horizontal="left" vertical="center" wrapText="1"/>
    </xf>
    <xf numFmtId="0" fontId="10" fillId="0" borderId="6" xfId="0">
      <alignment horizontal="left" vertical="center" wrapText="1"/>
    </xf>
    <xf numFmtId="0" fontId="9" fillId="0" borderId="1" xfId="0">
      <alignment horizontal="left" vertical="center" wrapText="1"/>
    </xf>
    <xf numFmtId="0" fontId="0" fillId="0" borderId="1" xfId="0"/>
    <xf numFmtId="0" fontId="9" fillId="0" borderId="4" xfId="0"/>
    <xf numFmtId="3" fontId="11" fillId="0" borderId="4" xfId="0">
      <alignment horizontal="right" vertical="center"/>
    </xf>
    <xf numFmtId="3" fontId="11" fillId="0" borderId="5" xfId="0">
      <alignment horizontal="right" vertical="center"/>
    </xf>
    <xf numFmtId="3773" fontId="11" fillId="0" borderId="5" xfId="0">
      <alignment horizontal="right" vertical="center"/>
    </xf>
    <xf numFmtId="3773" fontId="11" fillId="0" borderId="6" xfId="0">
      <alignment horizontal="right" vertical="center"/>
    </xf>
    <xf numFmtId="0" fontId="9" fillId="0" borderId="4" xfId="0">
      <alignment horizontal="left" vertical="center" wrapText="1"/>
    </xf>
    <xf numFmtId="0" fontId="11" fillId="0" borderId="4" xfId="0">
      <alignment horizontal="center" vertical="center"/>
    </xf>
    <xf numFmtId="0" fontId="9" fillId="0" borderId="5" xfId="0">
      <alignment horizontal="left" vertical="center" wrapText="1"/>
    </xf>
    <xf numFmtId="0" fontId="11" fillId="0" borderId="5" xfId="0">
      <alignment horizontal="center" vertical="center"/>
    </xf>
    <xf numFmtId="0" fontId="9" fillId="0" borderId="6" xfId="0">
      <alignment horizontal="left" vertical="center" wrapText="1"/>
    </xf>
    <xf numFmtId="0" fontId="11" fillId="0" borderId="6" xfId="0">
      <alignment horizontal="center" vertical="center"/>
    </xf>
    <xf numFmtId="0" fontId="12" fillId="0" borderId="1" xfId="0">
      <alignment horizontal="left" vertical="top" wrapText="1"/>
    </xf>
    <xf numFmtId="0" fontId="11" fillId="0" borderId="1" xfId="0">
      <alignment horizontal="right" vertical="center"/>
    </xf>
    <xf numFmtId="0" fontId="11" fillId="0" borderId="1" xfId="0">
      <alignment horizontal="left" vertical="center"/>
    </xf>
    <xf numFmtId="3762" fontId="11" fillId="0" borderId="1" xfId="0">
      <alignment horizontal="right" vertical="center"/>
    </xf>
    <xf numFmtId="3765" fontId="11" fillId="0" borderId="1" xfId="0">
      <alignment horizontal="right" vertical="center"/>
    </xf>
    <xf numFmtId="3762" fontId="9" fillId="0" borderId="1" xfId="0">
      <alignment horizontal="right" vertical="center"/>
    </xf>
    <xf numFmtId="3765" fontId="9" fillId="0" borderId="1" xfId="0">
      <alignment horizontal="right" vertical="center"/>
    </xf>
    <xf numFmtId="3762" fontId="10" fillId="0" borderId="1" xfId="0">
      <alignment horizontal="right" vertical="center"/>
    </xf>
    <xf numFmtId="3765" fontId="10" fillId="0" borderId="1" xfId="0">
      <alignment horizontal="right" vertical="center"/>
    </xf>
    <xf numFmtId="3765" fontId="5" fillId="0" borderId="1" xfId="0">
      <alignment horizontal="right" vertical="center"/>
    </xf>
    <xf numFmtId="0" fontId="11" fillId="0" borderId="1" xfId="0">
      <alignment horizontal="center" vertical="center"/>
    </xf>
    <xf numFmtId="0" fontId="9" fillId="0" borderId="1" xfId="0">
      <alignment horizontal="center" vertical="center"/>
    </xf>
    <xf numFmtId="0" fontId="9" fillId="0" borderId="1" xfId="0">
      <alignment horizontal="center" vertical="center" wrapText="1"/>
    </xf>
    <xf numFmtId="0" fontId="0" fillId="0" borderId="7" xfId="0"/>
    <xf numFmtId="0" fontId="5" fillId="0" borderId="7" xfId="0"/>
    <xf numFmtId="3762" fontId="5" fillId="0" borderId="7" xfId="0">
      <alignment horizontal="right" vertical="center"/>
    </xf>
    <xf numFmtId="3765" fontId="5" fillId="0" borderId="7" xfId="0">
      <alignment horizontal="right" vertical="center"/>
    </xf>
    <xf numFmtId="3765" fontId="5" fillId="0" borderId="4" xfId="0">
      <alignment horizontal="right" vertical="center"/>
    </xf>
    <xf numFmtId="3765" fontId="5" fillId="0" borderId="5" xfId="0">
      <alignment horizontal="right" vertical="center"/>
    </xf>
    <xf numFmtId="3765" fontId="5" fillId="0" borderId="6" xfId="0">
      <alignment horizontal="right" vertical="center"/>
    </xf>
  </cellXfs>
  <cellStyles count="6">
    <cellStyle name="Normal" xfId="0" builtinId="0"/>
    <cellStyle name="Comma" xfId="1" builtinId="3"/>
    <cellStyle name="Comma [0]" xfId="2" builtinId="6"/>
    <cellStyle name="Currency" xfId="1" builtinId="4"/>
    <cellStyle name="Currency [0]" xfId="1" builtinId="7"/>
    <cellStyle name="Percent" xfId="3" builtinId="5"/>
  </cellStyles>
  <dxfs count="1">
    <dxf>
      <font>
        <b/>
        <color rgb="FFC00000"/>
      </font>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 Id="rId7" Type="http://schemas.openxmlformats.org/officeDocument/2006/relationships/theme" Target="theme/theme1.xml"/><Relationship Id="rId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microsoft.com/office/2011/relationships/chartStyle" Target="style1.xml"/><Relationship Id="rId2" Type="http://schemas.microsoft.com/office/2011/relationships/chartColorStyle" Target="colors1.xml"/></Relationships>
</file>

<file path=xl/charts/chart1.xml><?xml version="1.0" encoding="utf-8"?>
<c:chartSpace xmlns:a="http://schemas.openxmlformats.org/drawingml/2006/main" xmlns:r="http://schemas.openxmlformats.org/officeDocument/2006/relationships" xmlns:c="http://schemas.openxmlformats.org/drawingml/2006/chart" xmlns:c16r2="http://schemas.microsoft.com/office/drawing/2015/06/chart">
  <c:roundedCorners val="0"/>
  <c:chart>
    <c:title>
      <c:tx>
        <c:rich>
          <a:bodyPr/>
          <a:p>
            <a:pPr>
              <a:defRPr sz="1800" b="1" strike="noStrike">
                <a:solidFill>
                  <a:srgbClr val="000000"/>
                </a:solidFill>
                <a:latin typeface="Calibri"/>
              </a:defRPr>
            </a:pPr>
            <a:r>
              <a:rPr sz="1800" b="1" strike="noStrike">
                <a:solidFill>
                  <a:srgbClr val="000000"/>
                </a:solidFill>
                <a:latin typeface="Calibri"/>
              </a:rPr>
              <a:t>Costo Año 1 por escenario</a:t>
            </a:r>
            <a:endParaRPr/>
          </a:p>
        </c:rich>
      </c:tx>
      <c:overlay val="0"/>
      <c:spPr>
        <a:noFill/>
        <a:ln w="0">
          <a:noFill/>
        </a:ln>
      </c:spPr>
    </c:title>
    <c:autoTitleDeleted val="0"/>
    <c:plotArea>
      <c:barChart chartType="6">
        <c:ser seriesType="0">
          <c:idx val="0"/>
          <c:order val="0"/>
          <c:tx>
            <c:strRef>
              <c:f>Resumen!$F$21</c:f>
            </c:strRef>
          </c:tx>
          <c:spPr>
            <a:solidFill>
              <a:srgbClr val="4f81bd"/>
            </a:solidFill>
            <a:ln w="9335">
              <a:solidFill>
                <a:srgbClr val="f9f9f9"/>
              </a:solidFill>
              <a:round/>
            </a:ln>
          </c:spPr>
          <c:cat>
            <c:strRef>
              <c:f>Resumen!$C$22:$C$25</c:f>
            </c:strRef>
          </c:cat>
          <c:val>
            <c:numRef>
              <c:f>Resumen!$F$22:$F$25</c:f>
              <c:numCache>
                <c:formatCode>#,##0.0;\(#,##0.0\);\-</c:formatCode>
              </c:numCache>
            </c:numRef>
          </c:val>
          <c:dLbls>
            <c:spPr>
              <a:noFill/>
              <a:ln>
                <a:noFill/>
              </a:ln>
            </c:spPr>
            <c:txPr>
              <a:bodyPr/>
              <a:p>
                <a:pPr>
                  <a:defRPr sz="1000" b="0" strike="noStrike">
                    <a:latin typeface="Arial"/>
                  </a:defRPr>
                </a:pPr>
                <a:endParaRPr/>
              </a:p>
            </c:txPr>
            <c:dLblPos val="outEnd"/>
            <c:showLeaderLines val="1"/>
            <c:showBubbleSize val="0"/>
            <c:showLegendKey val="0"/>
            <c:showPercent val="0"/>
            <c:showCatName val="0"/>
            <c:showSerName val="0"/>
            <c:showVal val="0"/>
            <c:separator> </c:separator>
            <c:extLst>
              <c:ext xmlns:c15="http://schemas.microsoft.com/office/drawing/2012/chart" uri="{CE6537A1-D6FC-4f65-9D91-7224C49458BB}">
                <c15:showLeaderLines val="1"/>
              </c:ext>
            </c:extLst>
            <c:leaderLines>
              <c:spPr>
                <a:ln w="9525">
                  <a:solidFill>
                    <a:schemeClr val="tx1">
                      <a:lumMod val="35000"/>
                      <a:lumOff val="65000"/>
                    </a:schemeClr>
                  </a:solidFill>
                </a:ln>
              </c:spPr>
            </c:leaderLines>
          </c:dLbls>
          <c:extLst/>
          <c:invertIfNegative val="0"/>
        </c:ser>
        <c:axId val="87987577"/>
        <c:axId val="26216841"/>
        <c:barDir val="col"/>
        <c:grouping val="clustered"/>
        <c:gapWidth val="150"/>
        <c:varyColors val="0"/>
        <c:overlap val="0"/>
      </c:barChart>
      <c:catAx axisType="0">
        <c:axId val="87987577"/>
        <c:delete val="0"/>
        <c:majorTickMark val="none"/>
        <c:minorTickMark val="none"/>
        <c:tickLblPos val="nextTo"/>
        <c:title>
          <c:tx>
            <c:rich>
              <a:bodyPr/>
              <a:p>
                <a:pPr>
                  <a:defRPr sz="1000" b="1" strike="noStrike">
                    <a:solidFill>
                      <a:srgbClr val="000000"/>
                    </a:solidFill>
                    <a:latin typeface="Calibri"/>
                  </a:defRPr>
                </a:pPr>
                <a:r>
                  <a:rPr sz="1000" b="1" strike="noStrike">
                    <a:solidFill>
                      <a:srgbClr val="000000"/>
                    </a:solidFill>
                    <a:latin typeface="Calibri"/>
                  </a:rPr>
                  <a:t>Escenario</a:t>
                </a:r>
                <a:endParaRPr/>
              </a:p>
            </c:rich>
          </c:tx>
          <c:overlay val="0"/>
          <c:spPr>
            <a:noFill/>
            <a:ln w="0">
              <a:noFill/>
            </a:ln>
          </c:spPr>
        </c:title>
        <c:axPos val="b"/>
        <c:scaling>
          <c:orientation val="minMax"/>
        </c:scaling>
        <c:spPr>
          <a:ln w="9335">
            <a:solidFill>
              <a:srgbClr val="878787"/>
            </a:solidFill>
            <a:round/>
          </a:ln>
        </c:spPr>
        <c:numFmt formatCode="General"/>
        <c:txPr>
          <a:bodyPr/>
          <a:p>
            <a:pPr>
              <a:defRPr sz="1000" b="0" strike="noStrike">
                <a:solidFill>
                  <a:srgbClr val="000000"/>
                </a:solidFill>
                <a:latin typeface="Calibri"/>
              </a:defRPr>
            </a:pPr>
            <a:endParaRPr/>
          </a:p>
        </c:txPr>
        <c:auto val="1"/>
        <c:tickMarkSkip val="1"/>
        <c:noMultiLvlLbl val="1"/>
        <c:crosses val="autoZero"/>
        <c:crossAx val="26216841"/>
      </c:catAx>
      <c:valAx axisType="3">
        <c:axId val="26216841"/>
        <c:delete val="0"/>
        <c:majorTickMark val="none"/>
        <c:minorTickMark val="none"/>
        <c:tickLblPos val="nextTo"/>
        <c:title>
          <c:tx>
            <c:rich>
              <a:bodyPr rot="-5400000"/>
              <a:p>
                <a:pPr>
                  <a:defRPr sz="1000" b="1" strike="noStrike">
                    <a:solidFill>
                      <a:srgbClr val="000000"/>
                    </a:solidFill>
                    <a:latin typeface="Calibri"/>
                  </a:defRPr>
                </a:pPr>
                <a:r>
                  <a:rPr sz="1000" b="1" strike="noStrike">
                    <a:solidFill>
                      <a:srgbClr val="000000"/>
                    </a:solidFill>
                    <a:latin typeface="Calibri"/>
                  </a:rPr>
                  <a:t>USD</a:t>
                </a:r>
                <a:endParaRPr/>
              </a:p>
            </c:rich>
          </c:tx>
          <c:overlay val="0"/>
          <c:spPr>
            <a:noFill/>
            <a:ln w="0">
              <a:noFill/>
            </a:ln>
          </c:spPr>
        </c:title>
        <c:axPos val="l"/>
        <c:scaling>
          <c:orientation val="minMax"/>
        </c:scaling>
        <c:spPr>
          <a:ln w="9335">
            <a:solidFill>
              <a:srgbClr val="878787"/>
            </a:solidFill>
            <a:round/>
          </a:ln>
        </c:spPr>
        <c:numFmt formatCode="#,##0.0;\(#,##0.0\);\-"/>
        <c:txPr>
          <a:bodyPr/>
          <a:p>
            <a:pPr>
              <a:defRPr sz="1000" b="0" strike="noStrike">
                <a:solidFill>
                  <a:srgbClr val="000000"/>
                </a:solidFill>
                <a:latin typeface="Calibri"/>
              </a:defRPr>
            </a:pPr>
            <a:endParaRPr/>
          </a:p>
        </c:txPr>
        <c:majorGridlines>
          <c:spPr>
            <a:ln w="9335">
              <a:solidFill>
                <a:srgbClr val="878787"/>
              </a:solidFill>
              <a:round/>
            </a:ln>
          </c:spPr>
        </c:majorGridlines>
        <c:crosses val="autoZero"/>
        <c:crossBetween val="between"/>
        <c:crossAx val="87987577"/>
      </c:valAx>
      <c:spPr>
        <a:noFill/>
        <a:ln w="0">
          <a:noFill/>
        </a:ln>
      </c:spPr>
    </c:plotArea>
    <c:plotVisOnly val="1"/>
    <c:dispBlanksAs val="gap"/>
    <c:showDLblsOverMax val="0"/>
    <c:extLst>
      <c:ext xmlns:c16r3="http://schemas.microsoft.com/office/drawing/2017/03/chart" uri="{56B9EC1D-385E-4148-901F-78D8002777C0}">
        <c16r3:dataDisplayOptions16>
          <c16r3:dispNaAsBlank val="0"/>
        </c16r3:dataDisplayOptions16>
      </c:ext>
    </c:extLst>
  </c:chart>
  <mc:AlternateContent xmlns:mc="http://schemas.openxmlformats.org/markup-compatibility/2006">
    <mc:Choice xmlns:c14="http://schemas.microsoft.com/office/drawing/2007/8/2/chart" Requires="c14">
      <c14:style val="102"/>
    </mc:Choice>
    <mc:Fallback>
      <c:style val="4"/>
    </mc:Fallback>
  </mc:AlternateContent>
  <c:spPr>
    <a:solidFill>
      <a:srgbClr val="ffffff"/>
    </a:solidFill>
    <a:ln w="9335">
      <a:solidFill>
        <a:srgbClr val="d9d9d9"/>
      </a:solidFill>
      <a:round/>
    </a:ln>
  </c:spPr>
  <c:txPr>
    <a:bodyPr/>
    <a:p>
      <a:pPr>
        <a:defRPr/>
      </a:pPr>
      <a:r>
        <a:rPr/>
        <a:t/>
      </a:r>
      <a:endParaRPr/>
    </a:p>
  </c:txPr>
</c:chartSpace>
</file>

<file path=xl/charts/colors1.xml><?xml version="1.0" encoding="utf-8"?>
<cs:colorStyle xmlns:a="http://schemas.openxmlformats.org/drawingml/2006/main" xmlns:cs="http://schemas.microsoft.com/office/drawing/2012/chartStyle" meth="cycle" id="10">
  <a:schemeClr val="accent1"/>
  <a:schemeClr val="accent2"/>
  <a:schemeClr val="accent3"/>
  <a:schemeClr val="accent4"/>
  <a:schemeClr val="accent5"/>
  <a:schemeClr val="accent6"/>
  <a:schemeClr val="accent1">
    <a:lumMod val="60000"/>
  </a:schemeClr>
  <a:schemeClr val="accent2">
    <a:lumMod val="60000"/>
  </a:schemeClr>
  <a:schemeClr val="accent3">
    <a:lumMod val="60000"/>
  </a:schemeClr>
  <a:schemeClr val="accent4">
    <a:lumMod val="60000"/>
  </a:schemeClr>
  <a:schemeClr val="accent5">
    <a:lumMod val="60000"/>
  </a:schemeClr>
  <a:schemeClr val="accent6">
    <a:lumMod val="60000"/>
  </a:schemeClr>
  <a:schemeClr val="accent1">
    <a:lumMod val="80000"/>
    <a:lumOff val="20000"/>
  </a:schemeClr>
  <a:schemeClr val="accent2">
    <a:lumMod val="80000"/>
    <a:lumOff val="20000"/>
  </a:schemeClr>
  <a:schemeClr val="accent3">
    <a:lumMod val="80000"/>
    <a:lumOff val="20000"/>
  </a:schemeClr>
  <a:schemeClr val="accent4">
    <a:lumMod val="80000"/>
    <a:lumOff val="20000"/>
  </a:schemeClr>
  <a:schemeClr val="accent5">
    <a:lumMod val="80000"/>
    <a:lumOff val="20000"/>
  </a:schemeClr>
  <a:schemeClr val="accent6">
    <a:lumMod val="80000"/>
    <a:lumOff val="20000"/>
  </a:schemeClr>
  <a:schemeClr val="accent1">
    <a:lumMod val="80000"/>
  </a:schemeClr>
  <a:schemeClr val="accent2">
    <a:lumMod val="80000"/>
  </a:schemeClr>
  <a:schemeClr val="accent3">
    <a:lumMod val="80000"/>
  </a:schemeClr>
  <a:schemeClr val="accent4">
    <a:lumMod val="80000"/>
  </a:schemeClr>
  <a:schemeClr val="accent5">
    <a:lumMod val="80000"/>
  </a:schemeClr>
  <a:schemeClr val="accent6">
    <a:lumMod val="80000"/>
  </a:schemeClr>
  <a:schemeClr val="accent1">
    <a:lumMod val="60000"/>
    <a:lumOff val="40000"/>
  </a:schemeClr>
  <a:schemeClr val="accent2">
    <a:lumMod val="60000"/>
    <a:lumOff val="40000"/>
  </a:schemeClr>
  <a:schemeClr val="accent3">
    <a:lumMod val="60000"/>
    <a:lumOff val="40000"/>
  </a:schemeClr>
  <a:schemeClr val="accent4">
    <a:lumMod val="60000"/>
    <a:lumOff val="40000"/>
  </a:schemeClr>
  <a:schemeClr val="accent5">
    <a:lumMod val="60000"/>
    <a:lumOff val="40000"/>
  </a:schemeClr>
  <a:schemeClr val="accent6">
    <a:lumMod val="60000"/>
    <a:lumOff val="40000"/>
  </a:schemeClr>
  <a:schemeClr val="accent1">
    <a:lumMod val="50000"/>
  </a:schemeClr>
  <a:schemeClr val="accent2">
    <a:lumMod val="50000"/>
  </a:schemeClr>
  <a:schemeClr val="accent3">
    <a:lumMod val="50000"/>
  </a:schemeClr>
  <a:schemeClr val="accent4">
    <a:lumMod val="50000"/>
  </a:schemeClr>
  <a:schemeClr val="accent5">
    <a:lumMod val="50000"/>
  </a:schemeClr>
  <a:schemeClr val="accent6">
    <a:lumMod val="50000"/>
  </a:schemeClr>
  <a:schemeClr val="accent1">
    <a:lumMod val="70000"/>
    <a:lumOff val="30000"/>
  </a:schemeClr>
  <a:schemeClr val="accent2">
    <a:lumMod val="70000"/>
    <a:lumOff val="30000"/>
  </a:schemeClr>
  <a:schemeClr val="accent3">
    <a:lumMod val="70000"/>
    <a:lumOff val="30000"/>
  </a:schemeClr>
  <a:schemeClr val="accent4">
    <a:lumMod val="70000"/>
    <a:lumOff val="30000"/>
  </a:schemeClr>
  <a:schemeClr val="accent5">
    <a:lumMod val="70000"/>
    <a:lumOff val="30000"/>
  </a:schemeClr>
  <a:schemeClr val="accent6">
    <a:lumMod val="70000"/>
    <a:lumOff val="30000"/>
  </a:schemeClr>
  <a:schemeClr val="accent1">
    <a:lumMod val="70000"/>
  </a:schemeClr>
  <a:schemeClr val="accent2">
    <a:lumMod val="70000"/>
  </a:schemeClr>
  <a:schemeClr val="accent3">
    <a:lumMod val="70000"/>
  </a:schemeClr>
  <a:schemeClr val="accent4">
    <a:lumMod val="70000"/>
  </a:schemeClr>
  <a:schemeClr val="accent5">
    <a:lumMod val="70000"/>
  </a:schemeClr>
  <a:schemeClr val="accent6">
    <a:lumMod val="70000"/>
  </a:schemeClr>
  <a:schemeClr val="accent1">
    <a:lumMod val="50000"/>
    <a:lumOff val="50000"/>
  </a:schemeClr>
  <a:schemeClr val="accent2">
    <a:lumMod val="50000"/>
    <a:lumOff val="50000"/>
  </a:schemeClr>
  <a:schemeClr val="accent3">
    <a:lumMod val="50000"/>
    <a:lumOff val="50000"/>
  </a:schemeClr>
  <a:schemeClr val="accent4">
    <a:lumMod val="50000"/>
    <a:lumOff val="50000"/>
  </a:schemeClr>
  <a:schemeClr val="accent5">
    <a:lumMod val="50000"/>
    <a:lumOff val="50000"/>
  </a:schemeClr>
  <a:schemeClr val="accent6">
    <a:lumMod val="50000"/>
    <a:lumOff val="50000"/>
  </a:schemeClr>
</cs:colorStyle>
</file>

<file path=xl/charts/style1.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19</xdr:row>
      <xdr:rowOff>0</xdr:rowOff>
    </xdr:from>
    <xdr:to>
      <xdr:col>18</xdr:col>
      <xdr:colOff>0</xdr:colOff>
      <xdr:row>28</xdr:row>
      <xdr:rowOff>355320</xdr:rowOff>
    </xdr:to>
    <xdr:graphicFrame>
      <xdr:nvGraphicFramePr>
        <xdr:cNvPr id="0" name="Chart 1"/>
        <xdr:cNvGraphicFramePr>
          <a:graphicFrameLocks noChangeAspect="0"/>
        </xdr:cNvGraphicFramePr>
      </xdr:nvGraphicFramePr>
      <xdr:xfrm>
        <a:off x="13963650" y="5972175"/>
        <a:ext cx="4572000" cy="305089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B4A6332E-3BD8-A058-8C74-EEC88DBF7B58}" mc:Ignorable="x14ac xr xr2 xr3">
  <sheetPr>
    <pageSetUpPr fitToPage="1"/>
  </sheetPr>
  <dimension ref="A1:AX501"/>
  <sheetViews>
    <sheetView topLeftCell="A1" workbookViewId="0" tabSelected="1">
      <pane ySplit="1" topLeftCell="A21" activePane="bottomLeft" state="frozen"/>
      <selection pane="bottomLeft" activeCell="E30" sqref="E30"/>
    </sheetView>
  </sheetViews>
  <sheetFormatPr defaultRowHeight="21.75" defaultColWidth="8.57421875" customHeight="1"/>
  <cols>
    <col min="1" max="2" style="34" width="8.57421875" customWidth="1"/>
    <col min="3" max="3" style="34" width="48.57421875" customWidth="1"/>
    <col min="4" max="4" style="34" width="31.140625" customWidth="1"/>
    <col min="5" max="5" style="34" width="48.57421875" customWidth="1"/>
    <col min="6" max="6" style="34" width="14.8515625" customWidth="1"/>
    <col min="7" max="7" style="34" width="19.140625" customWidth="1"/>
    <col min="8" max="8" style="34" width="12.421875" customWidth="1"/>
    <col min="9" max="9" style="34" width="9.00390625" customWidth="1"/>
  </cols>
  <sheetData>
    <row r="1" ht="21.75" customHeight="1">
      <c r="A1" s="1"/>
      <c r="B1" s="1"/>
      <c r="C1" s="1"/>
      <c r="D1" s="1"/>
      <c r="E1" s="1"/>
      <c r="F1" s="1"/>
      <c r="G1" s="1"/>
      <c r="H1" s="1"/>
      <c r="I1" s="1"/>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row>
    <row r="4" ht="24.75" customHeight="1">
      <c r="C4" s="3" t="s">
        <v>0</v>
      </c>
      <c r="D4" s="3"/>
      <c r="E4" s="3"/>
      <c r="F4" s="3"/>
      <c r="G4" s="3"/>
      <c r="H4" s="3"/>
      <c r="I4" s="3"/>
      <c r="J4" s="3"/>
      <c r="K4" s="3"/>
      <c r="L4" s="3"/>
    </row>
    <row r="6" ht="15" customHeight="1">
      <c r="C6" s="4" t="s">
        <v>1</v>
      </c>
    </row>
    <row r="7" ht="15" customHeight="1">
      <c r="C7" s="5" t="s">
        <v>2</v>
      </c>
    </row>
    <row r="9" ht="19.5" customHeight="1">
      <c r="C9" s="6" t="s">
        <v>3</v>
      </c>
      <c r="D9" s="6"/>
      <c r="E9" s="6"/>
      <c r="F9" s="6"/>
      <c r="G9" s="6"/>
    </row>
    <row r="10" ht="33.75" customHeight="1">
      <c r="C10" s="7" t="s">
        <v>4</v>
      </c>
      <c r="D10" s="7" t="s">
        <v>5</v>
      </c>
      <c r="E10" s="7" t="s">
        <v>6</v>
      </c>
      <c r="F10" s="7" t="s">
        <v>7</v>
      </c>
      <c r="G10" s="7" t="s">
        <v>8</v>
      </c>
    </row>
    <row r="11" ht="30" customHeight="1">
      <c r="C11" s="8" t="s">
        <v>9</v>
      </c>
      <c r="D11" s="9">
        <f>Personal!M21</f>
        <v>2396800</v>
      </c>
      <c r="E11" s="10" t="s">
        <v>10</v>
      </c>
      <c r="F11" s="10" t="s">
        <v>11</v>
      </c>
      <c r="G11" s="10" t="s">
        <v>12</v>
      </c>
    </row>
    <row r="12" ht="30" customHeight="1">
      <c r="C12" s="11" t="s">
        <v>13</v>
      </c>
      <c r="D12" s="12">
        <f>Personal!U21</f>
        <v>1045200</v>
      </c>
      <c r="E12" s="13" t="s">
        <v>14</v>
      </c>
      <c r="F12" s="13" t="s">
        <v>15</v>
      </c>
      <c r="G12" s="13" t="s">
        <v>16</v>
      </c>
    </row>
    <row r="13" ht="30" customHeight="1">
      <c r="C13" s="11" t="s">
        <v>17</v>
      </c>
      <c r="D13" s="12">
        <f>Personal!AB21</f>
        <v>1198400</v>
      </c>
      <c r="E13" s="13" t="s">
        <v>18</v>
      </c>
      <c r="F13" s="13" t="s">
        <v>15</v>
      </c>
      <c r="G13" s="13" t="s">
        <v>19</v>
      </c>
    </row>
    <row r="14" ht="30" customHeight="1">
      <c r="C14" s="14" t="s">
        <v>20</v>
      </c>
      <c r="D14" s="15">
        <f>Personal!AC21</f>
        <v>2243600</v>
      </c>
      <c r="E14" s="13" t="s">
        <v>21</v>
      </c>
      <c r="F14" s="13" t="s">
        <v>15</v>
      </c>
      <c r="G14" s="13" t="s">
        <v>16</v>
      </c>
    </row>
    <row r="15" ht="30" customHeight="1">
      <c r="C15" s="14" t="s">
        <v>22</v>
      </c>
      <c r="D15" s="15">
        <f>Personal!AD21</f>
        <v>153200</v>
      </c>
      <c r="E15" s="13" t="s">
        <v>23</v>
      </c>
      <c r="F15" s="13" t="s">
        <v>15</v>
      </c>
      <c r="G15" s="13" t="s">
        <v>16</v>
      </c>
    </row>
    <row r="16" ht="30" customHeight="1">
      <c r="C16" s="14" t="s">
        <v>24</v>
      </c>
      <c r="D16" s="15">
        <f>Personal!AE21</f>
        <v>2396800</v>
      </c>
      <c r="E16" s="13" t="s">
        <v>25</v>
      </c>
      <c r="F16" s="13" t="s">
        <v>15</v>
      </c>
      <c r="G16" s="13" t="s">
        <v>16</v>
      </c>
    </row>
    <row r="17" ht="30" customHeight="1">
      <c r="C17" s="16" t="s">
        <v>26</v>
      </c>
      <c r="D17" s="17">
        <f>COUNTIF(Personal!AF11:AF19,"&lt;&gt;Completo")</f>
        <v>9</v>
      </c>
      <c r="E17" s="18" t="s">
        <v>27</v>
      </c>
      <c r="F17" s="18" t="s">
        <v>15</v>
      </c>
      <c r="G17" s="18" t="s">
        <v>28</v>
      </c>
    </row>
    <row r="20" ht="19.5" customHeight="1">
      <c r="C20" s="6" t="s">
        <v>29</v>
      </c>
      <c r="D20" s="6"/>
      <c r="E20" s="6"/>
      <c r="F20" s="6"/>
      <c r="G20" s="6"/>
      <c r="H20" s="6"/>
    </row>
    <row r="21" ht="33.75" customHeight="1">
      <c r="C21" s="7" t="s">
        <v>30</v>
      </c>
      <c r="D21" s="7" t="s">
        <v>31</v>
      </c>
      <c r="E21" s="7" t="s">
        <v>32</v>
      </c>
      <c r="F21" s="7" t="s">
        <v>33</v>
      </c>
      <c r="G21" s="7" t="s">
        <v>34</v>
      </c>
      <c r="H21" s="7" t="s">
        <v>35</v>
      </c>
    </row>
    <row r="22" ht="24" customHeight="1">
      <c r="C22" s="19" t="s">
        <v>36</v>
      </c>
      <c r="D22" s="9">
        <f>Personal!U21</f>
        <v>1045200</v>
      </c>
      <c r="E22" s="20">
        <f>Personal!AB21</f>
        <v>1198400</v>
      </c>
      <c r="F22" s="20">
        <f>Personal!AC21</f>
        <v>2243600</v>
      </c>
      <c r="G22" s="20">
        <f>Personal!AD21</f>
        <v>153200</v>
      </c>
      <c r="H22" s="20">
        <f>Personal!AE21</f>
        <v>2396800</v>
      </c>
    </row>
    <row r="23" ht="24" customHeight="1">
      <c r="C23" s="21" t="s">
        <v>37</v>
      </c>
      <c r="D23" s="12">
        <f>Personal!U21</f>
        <v>1045200</v>
      </c>
      <c r="E23" s="22">
        <f>(SUM(Personal!F11:F19)+SUM(Personal!G11:G19)+SUM(Personal!H11:H19)+SUM(Personal!I11:I19)+SUM(Personal!J11:J19)+SUM(Personal!K11:K19)*Supuestos!$D$13)/12*Supuestos!$D$10</f>
        <v>1198400</v>
      </c>
      <c r="F23" s="23">
        <f t="shared" si="0" ref="F23:F25">D23+E23</f>
        <v>2243600</v>
      </c>
      <c r="G23" s="22">
        <f>Personal!M21-F23</f>
        <v>153200</v>
      </c>
      <c r="H23" s="22">
        <f>E23/Supuestos!$D$10*12</f>
        <v>2396800</v>
      </c>
    </row>
    <row r="24" ht="24" customHeight="1">
      <c r="C24" s="21" t="s">
        <v>38</v>
      </c>
      <c r="D24" s="12">
        <f>Personal!U21</f>
        <v>1045200</v>
      </c>
      <c r="E24" s="22">
        <f>(SUM(Personal!F11:F19)+SUM(Personal!G11:G19)+SUM(Personal!H11:H19)+SUM(Personal!J11:J19)+SUM(Personal!K11:K19)*Supuestos!$D$12)/12*Supuestos!$D$10</f>
        <v>993200</v>
      </c>
      <c r="F24" s="23">
        <f t="shared" si="0"/>
        <v>2038400</v>
      </c>
      <c r="G24" s="22">
        <f>Personal!M21-F24</f>
        <v>358400</v>
      </c>
      <c r="H24" s="22">
        <f>E24/Supuestos!$D$10*12</f>
        <v>1986400</v>
      </c>
    </row>
    <row r="25" ht="24" customHeight="1">
      <c r="C25" s="24" t="s">
        <v>39</v>
      </c>
      <c r="D25" s="25">
        <f>Personal!U21</f>
        <v>1045200</v>
      </c>
      <c r="E25" s="26">
        <f>(SUM(Personal!F11:F19)+SUM(Personal!H11:H19)+SUM(Personal!J11:J19)+SUM(Personal!K11:K19)*Supuestos!$D$12)/12*Supuestos!$D$10</f>
        <v>894200</v>
      </c>
      <c r="F25" s="27">
        <f t="shared" si="0"/>
        <v>1939400</v>
      </c>
      <c r="G25" s="26">
        <f>Personal!M21-F25</f>
        <v>457400</v>
      </c>
      <c r="H25" s="26">
        <f>E25/Supuestos!$D$10*12</f>
        <v>1788400</v>
      </c>
    </row>
    <row r="28" ht="19.5" customHeight="1">
      <c r="C28" s="6" t="s">
        <v>40</v>
      </c>
      <c r="D28" s="6"/>
      <c r="E28" s="6"/>
      <c r="F28" s="6"/>
      <c r="G28" s="6"/>
      <c r="H28" s="6"/>
      <c r="I28" s="6"/>
    </row>
    <row r="29" ht="33.75" customHeight="1">
      <c r="C29" s="7" t="s">
        <v>41</v>
      </c>
      <c r="D29" s="7" t="s">
        <v>42</v>
      </c>
      <c r="E29" s="7" t="s">
        <v>43</v>
      </c>
      <c r="F29" s="7" t="s">
        <v>44</v>
      </c>
      <c r="G29" s="7" t="s">
        <v>45</v>
      </c>
      <c r="H29" s="7" t="s">
        <v>46</v>
      </c>
      <c r="I29" s="7" t="s">
        <v>47</v>
      </c>
    </row>
    <row r="30" ht="24" customHeight="1">
      <c r="C30" s="28" t="str">
        <f>Personal!E11</f>
        <v>Martin del Castillo</v>
      </c>
      <c r="D30" s="28" t="str">
        <f>Personal!D11</f>
        <v>COO / PU General Manager</v>
      </c>
      <c r="E30" s="28" t="str">
        <f>Personal!V11</f>
        <v>Expatriado</v>
      </c>
      <c r="F30" s="28" t="str">
        <f>Personal!W11</f>
        <v>Por definir</v>
      </c>
      <c r="G30" s="29">
        <f>Personal!U11</f>
        <v>226000</v>
      </c>
      <c r="H30" s="30">
        <f>Personal!AB11</f>
        <v>262000</v>
      </c>
      <c r="I30" s="30">
        <f>Personal!AC11</f>
        <v>488000</v>
      </c>
    </row>
    <row r="31" ht="24" customHeight="1">
      <c r="C31" s="31" t="str">
        <f>Personal!E12</f>
        <v>Juan Conde</v>
      </c>
      <c r="D31" s="31" t="str">
        <f>Personal!D12</f>
        <v>EPCM &amp; Engineering Manager</v>
      </c>
      <c r="E31" s="31" t="s">
        <v>54</v>
      </c>
      <c r="F31" s="31" t="str">
        <f>Personal!W12</f>
        <v>Por definir</v>
      </c>
      <c r="G31" s="12">
        <f>Personal!U12</f>
        <v>141000</v>
      </c>
      <c r="H31" s="22">
        <f>Personal!AB12</f>
        <v>162600</v>
      </c>
      <c r="I31" s="22">
        <f>Personal!AC12</f>
        <v>303600</v>
      </c>
    </row>
    <row r="32" ht="24" customHeight="1">
      <c r="C32" s="31" t="str">
        <f>Personal!E13</f>
        <v>Alexander Stulme</v>
      </c>
      <c r="D32" s="31" t="str">
        <f>Personal!D13</f>
        <v>Drilling &amp; Well Services Manager</v>
      </c>
      <c r="E32" s="31" t="s">
        <v>57</v>
      </c>
      <c r="F32" s="31" t="str">
        <f>Personal!W13</f>
        <v>Por definir</v>
      </c>
      <c r="G32" s="12">
        <f>Personal!U13</f>
        <v>123000</v>
      </c>
      <c r="H32" s="22">
        <f>Personal!AB13</f>
        <v>141000</v>
      </c>
      <c r="I32" s="22">
        <f>Personal!AC13</f>
        <v>264000</v>
      </c>
    </row>
    <row r="33" ht="24" customHeight="1">
      <c r="C33" s="31" t="str">
        <f>Personal!E14</f>
        <v>Félix Valderrama</v>
      </c>
      <c r="D33" s="31" t="str">
        <f>Personal!D14</f>
        <v>Operations &amp; Maintenance Manager</v>
      </c>
      <c r="E33" s="31" t="s">
        <v>60</v>
      </c>
      <c r="F33" s="31" t="str">
        <f>Personal!W14</f>
        <v>Por definir</v>
      </c>
      <c r="G33" s="12">
        <f>Personal!U14</f>
        <v>141000</v>
      </c>
      <c r="H33" s="22">
        <f>Personal!AB14</f>
        <v>162600</v>
      </c>
      <c r="I33" s="22">
        <f>Personal!AC14</f>
        <v>303600</v>
      </c>
    </row>
    <row r="34" ht="24" customHeight="1">
      <c r="C34" s="31" t="str">
        <f>Personal!E15</f>
        <v>Alan McKeon</v>
      </c>
      <c r="D34" s="31" t="str">
        <f>Personal!D15</f>
        <v>Technical Manager (Geosciences)</v>
      </c>
      <c r="E34" s="31" t="str">
        <f>Personal!V15</f>
        <v>Expatriado</v>
      </c>
      <c r="F34" s="31" t="str">
        <f>Personal!W15</f>
        <v>Por definir</v>
      </c>
      <c r="G34" s="12">
        <f>Personal!U15</f>
        <v>123000</v>
      </c>
      <c r="H34" s="22">
        <f>Personal!AB15</f>
        <v>141000</v>
      </c>
      <c r="I34" s="22">
        <f>Personal!AC15</f>
        <v>264000</v>
      </c>
    </row>
    <row r="35" ht="24" customHeight="1">
      <c r="C35" s="31" t="str">
        <f>Personal!E16</f>
        <v>JJI</v>
      </c>
      <c r="D35" s="31" t="str">
        <f>Personal!D16</f>
        <v>Reservoir Engineer</v>
      </c>
      <c r="E35" s="31" t="s">
        <v>65</v>
      </c>
      <c r="F35" s="31" t="str">
        <f>Personal!W16</f>
        <v>Por definir</v>
      </c>
      <c r="G35" s="12">
        <f>Personal!U16</f>
        <v>87000</v>
      </c>
      <c r="H35" s="22">
        <f>Personal!AB16</f>
        <v>97000</v>
      </c>
      <c r="I35" s="22">
        <f>Personal!AC16</f>
        <v>184000</v>
      </c>
    </row>
    <row r="36" ht="24" customHeight="1">
      <c r="C36" s="31" t="str">
        <f>Personal!E17</f>
        <v>Marcelo Dantas</v>
      </c>
      <c r="D36" s="31" t="str">
        <f>Personal!D17</f>
        <v>Rig Company Man</v>
      </c>
      <c r="E36" s="31" t="s">
        <v>68</v>
      </c>
      <c r="F36" s="31" t="str">
        <f>Personal!W17</f>
        <v>Por definir</v>
      </c>
      <c r="G36" s="12">
        <f>Personal!U17</f>
        <v>123000</v>
      </c>
      <c r="H36" s="22">
        <f>Personal!AB17</f>
        <v>141000</v>
      </c>
      <c r="I36" s="22">
        <f>Personal!AC17</f>
        <v>264000</v>
      </c>
    </row>
    <row r="37" ht="24" customHeight="1">
      <c r="C37" s="31" t="str">
        <f>Personal!E18</f>
        <v>Jose Miguel</v>
      </c>
      <c r="D37" s="31" t="str">
        <f>Personal!D18</f>
        <v>Planning &amp; PMO</v>
      </c>
      <c r="E37" s="31" t="s">
        <v>71</v>
      </c>
      <c r="F37" s="31" t="str">
        <f>Personal!W18</f>
        <v>Por definir</v>
      </c>
      <c r="G37" s="12">
        <f>Personal!U18</f>
        <v>37600</v>
      </c>
      <c r="H37" s="22">
        <f>Personal!AB18</f>
        <v>43600</v>
      </c>
      <c r="I37" s="22">
        <f>Personal!AC18</f>
        <v>81200</v>
      </c>
    </row>
    <row r="38" ht="24" customHeight="1">
      <c r="C38" s="32" t="s">
        <v>72</v>
      </c>
      <c r="D38" s="32" t="str">
        <f>Personal!D19</f>
        <v>Operations Support</v>
      </c>
      <c r="E38" s="32" t="s">
        <v>74</v>
      </c>
      <c r="F38" s="32" t="str">
        <f>Personal!W19</f>
        <v>Por definir</v>
      </c>
      <c r="G38" s="25">
        <f>Personal!U19</f>
        <v>43600</v>
      </c>
      <c r="H38" s="26">
        <f>Personal!AB19</f>
        <v>47600</v>
      </c>
      <c r="I38" s="26">
        <f>Personal!AC19</f>
        <v>91200</v>
      </c>
    </row>
    <row r="41" ht="19.5" customHeight="1">
      <c r="C41" s="6" t="s">
        <v>75</v>
      </c>
      <c r="D41" s="6"/>
      <c r="E41" s="6"/>
      <c r="F41" s="6"/>
      <c r="G41" s="6"/>
      <c r="H41" s="6"/>
      <c r="I41" s="6"/>
      <c r="J41" s="6"/>
      <c r="K41" s="6"/>
      <c r="L41" s="6"/>
    </row>
    <row r="42" ht="22.5" customHeight="1">
      <c r="C42" s="33" t="s">
        <v>76</v>
      </c>
      <c r="D42" s="33"/>
      <c r="E42" s="33"/>
      <c r="F42" s="33"/>
      <c r="G42" s="33"/>
      <c r="H42" s="33"/>
      <c r="I42" s="33"/>
      <c r="J42" s="33"/>
      <c r="K42" s="33"/>
      <c r="L42" s="33"/>
    </row>
    <row r="43" ht="22.5" customHeight="1">
      <c r="C43" s="33" t="s">
        <v>77</v>
      </c>
      <c r="D43" s="33"/>
      <c r="E43" s="33"/>
      <c r="F43" s="33"/>
      <c r="G43" s="33"/>
      <c r="H43" s="33"/>
      <c r="I43" s="33"/>
      <c r="J43" s="33"/>
      <c r="K43" s="33"/>
      <c r="L43" s="33"/>
    </row>
    <row r="44" ht="22.5" customHeight="1">
      <c r="C44" s="33" t="s">
        <v>78</v>
      </c>
      <c r="D44" s="33"/>
      <c r="E44" s="33"/>
      <c r="F44" s="33"/>
      <c r="G44" s="33"/>
      <c r="H44" s="33"/>
      <c r="I44" s="33"/>
      <c r="J44" s="33"/>
      <c r="K44" s="33"/>
      <c r="L44" s="33"/>
    </row>
    <row r="45" ht="22.5" customHeight="1">
      <c r="C45" s="33" t="s">
        <v>79</v>
      </c>
      <c r="D45" s="33"/>
      <c r="E45" s="33"/>
      <c r="F45" s="33"/>
      <c r="G45" s="33"/>
      <c r="H45" s="33"/>
      <c r="I45" s="33"/>
      <c r="J45" s="33"/>
      <c r="K45" s="33"/>
      <c r="L45" s="33"/>
    </row>
    <row r="46" ht="22.5" customHeight="1">
      <c r="C46" s="33" t="s">
        <v>80</v>
      </c>
      <c r="D46" s="33"/>
      <c r="E46" s="33"/>
      <c r="F46" s="33"/>
      <c r="G46" s="33"/>
      <c r="H46" s="33"/>
      <c r="I46" s="33"/>
      <c r="J46" s="33"/>
      <c r="K46" s="33"/>
      <c r="L46" s="33"/>
    </row>
  </sheetData>
  <mergeCells>
    <mergeCell ref="C4:L4"/>
    <mergeCell ref="C9:G9"/>
    <mergeCell ref="C20:H20"/>
    <mergeCell ref="C28:I28"/>
    <mergeCell ref="C41:L41"/>
    <mergeCell ref="C42:L42"/>
    <mergeCell ref="C43:L43"/>
    <mergeCell ref="C44:L44"/>
    <mergeCell ref="C45:L45"/>
    <mergeCell ref="C46:L46"/>
  </mergeCells>
  <printOptions headings="1"/>
  <pageMargins left="0.75" right="0.75" top="1" bottom="1" header="0.51" footer="0.5"/>
  <pageSetup useFirstPageNumber="1" paperSize="1" fitToHeight="0" pageOrder="downThenOver" orientation="landscape"/>
  <headerFooter>
    <oddFooter>&amp;L&amp;C&amp;8 &amp;K666666Resumen | Página &amp;P de &amp;N&amp;R</oddFooter>
  </headerFooter>
  <drawing r:id="rId1"/>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24D3F18-44FB-9F78-BE38-8848A6A06C78}" mc:Ignorable="x14ac xr xr2 xr3">
  <sheetPr>
    <pageSetUpPr fitToPage="1"/>
  </sheetPr>
  <dimension ref="A1:J39"/>
  <sheetViews>
    <sheetView topLeftCell="A1" workbookViewId="0">
      <pane ySplit="1" topLeftCell="A2" activePane="bottomLeft" state="frozen"/>
      <selection pane="bottomLeft" activeCell="A1" sqref="A1"/>
    </sheetView>
  </sheetViews>
  <sheetFormatPr defaultRowHeight="15" defaultColWidth="8.57421875" customHeight="1"/>
  <cols>
    <col min="1" max="2" style="34" width="20.00390625" customWidth="1"/>
    <col min="3" max="3" style="34" width="34.00390625" customWidth="1"/>
    <col min="4" max="4" style="34" width="28.00390625" customWidth="1"/>
    <col min="5" max="6" style="34" width="34.00390625" customWidth="1"/>
    <col min="7" max="7" style="34" width="26.00390625" customWidth="1"/>
    <col min="8" max="8" style="34" width="34.00390625" customWidth="1"/>
    <col min="9" max="10" style="34" width="12.00390625" customWidth="1"/>
  </cols>
  <sheetData>
    <row r="1" ht="15" customHeight="1">
      <c r="A1" s="1"/>
      <c r="B1" s="1"/>
      <c r="C1" s="1"/>
      <c r="D1" s="1"/>
      <c r="E1" s="1"/>
      <c r="F1" s="1"/>
      <c r="G1" s="1"/>
      <c r="H1" s="1"/>
      <c r="I1" s="1"/>
      <c r="J1" s="1"/>
    </row>
    <row r="4" ht="24.75" customHeight="1">
      <c r="C4" s="3" t="s">
        <v>81</v>
      </c>
      <c r="D4" s="3"/>
      <c r="E4" s="3"/>
      <c r="F4" s="3"/>
      <c r="G4" s="3"/>
      <c r="H4" s="3"/>
      <c r="I4" s="3"/>
      <c r="J4" s="3"/>
    </row>
    <row r="6" ht="15" customHeight="1">
      <c r="C6" s="4" t="s">
        <v>82</v>
      </c>
    </row>
    <row r="7" ht="15" customHeight="1">
      <c r="C7" s="5" t="s">
        <v>83</v>
      </c>
    </row>
    <row r="9" ht="19.5" customHeight="1">
      <c r="C9" s="6" t="s">
        <v>84</v>
      </c>
      <c r="D9" s="6"/>
      <c r="E9" s="6"/>
      <c r="F9" s="6"/>
    </row>
    <row r="10" ht="15" customHeight="1">
      <c r="C10" s="35" t="s">
        <v>85</v>
      </c>
      <c r="D10" s="36">
        <v>6</v>
      </c>
    </row>
    <row r="11" ht="15" customHeight="1">
      <c r="C11" s="11" t="s">
        <v>86</v>
      </c>
      <c r="D11" s="37">
        <v>6</v>
      </c>
    </row>
    <row r="12" ht="15" customHeight="1">
      <c r="C12" s="11" t="s">
        <v>87</v>
      </c>
      <c r="D12" s="38">
        <v>0</v>
      </c>
    </row>
    <row r="13" ht="15" customHeight="1">
      <c r="C13" s="11" t="s">
        <v>88</v>
      </c>
      <c r="D13" s="38">
        <v>0</v>
      </c>
    </row>
    <row r="14" ht="15" customHeight="1">
      <c r="C14" s="16" t="s">
        <v>89</v>
      </c>
      <c r="D14" s="39">
        <v>1</v>
      </c>
    </row>
    <row r="17" ht="19.5" customHeight="1">
      <c r="C17" s="6" t="s">
        <v>90</v>
      </c>
      <c r="D17" s="6"/>
      <c r="E17" s="6"/>
      <c r="F17" s="6"/>
    </row>
    <row r="18" ht="33.75" customHeight="1">
      <c r="C18" s="7" t="s">
        <v>91</v>
      </c>
      <c r="D18" s="7" t="s">
        <v>92</v>
      </c>
      <c r="E18" s="7" t="s">
        <v>93</v>
      </c>
      <c r="F18" s="7" t="s">
        <v>94</v>
      </c>
    </row>
    <row r="19" ht="24" customHeight="1">
      <c r="C19" s="40" t="s">
        <v>95</v>
      </c>
      <c r="D19" s="41" t="s">
        <v>96</v>
      </c>
      <c r="E19" s="40" t="s">
        <v>97</v>
      </c>
      <c r="F19" s="40" t="s">
        <v>96</v>
      </c>
    </row>
    <row r="20" ht="24" customHeight="1">
      <c r="C20" s="42" t="s">
        <v>98</v>
      </c>
      <c r="D20" s="43" t="s">
        <v>99</v>
      </c>
      <c r="E20" s="42" t="s">
        <v>100</v>
      </c>
      <c r="F20" s="42" t="s">
        <v>96</v>
      </c>
    </row>
    <row r="21" ht="24" customHeight="1">
      <c r="C21" s="42" t="s">
        <v>101</v>
      </c>
      <c r="D21" s="43" t="s">
        <v>96</v>
      </c>
      <c r="E21" s="42" t="s">
        <v>102</v>
      </c>
      <c r="F21" s="42" t="s">
        <v>96</v>
      </c>
    </row>
    <row r="22" ht="24" customHeight="1">
      <c r="C22" s="44" t="s">
        <v>51</v>
      </c>
      <c r="D22" s="45" t="s">
        <v>51</v>
      </c>
      <c r="E22" s="44" t="s">
        <v>103</v>
      </c>
      <c r="F22" s="44" t="s">
        <v>96</v>
      </c>
    </row>
    <row r="25" ht="19.5" customHeight="1">
      <c r="C25" s="6" t="s">
        <v>104</v>
      </c>
      <c r="D25" s="6"/>
      <c r="E25" s="6"/>
      <c r="F25" s="6"/>
      <c r="G25" s="6"/>
      <c r="H25" s="6"/>
    </row>
    <row r="26" ht="33.75" customHeight="1">
      <c r="C26" s="7" t="s">
        <v>105</v>
      </c>
      <c r="D26" s="7" t="s">
        <v>106</v>
      </c>
      <c r="E26" s="7" t="s">
        <v>107</v>
      </c>
      <c r="F26" s="7" t="s">
        <v>108</v>
      </c>
      <c r="G26" s="7" t="s">
        <v>109</v>
      </c>
      <c r="H26" s="7" t="s">
        <v>110</v>
      </c>
    </row>
    <row r="27" ht="33.75" customHeight="1">
      <c r="C27" s="10" t="s">
        <v>111</v>
      </c>
      <c r="D27" s="10" t="s">
        <v>112</v>
      </c>
      <c r="E27" s="10" t="s">
        <v>113</v>
      </c>
      <c r="F27" s="10" t="s">
        <v>114</v>
      </c>
      <c r="G27" s="10" t="s">
        <v>115</v>
      </c>
      <c r="H27" s="10" t="s">
        <v>116</v>
      </c>
    </row>
    <row r="28" ht="33.75" customHeight="1">
      <c r="C28" s="13" t="s">
        <v>117</v>
      </c>
      <c r="D28" s="13" t="s">
        <v>96</v>
      </c>
      <c r="E28" s="13" t="s">
        <v>118</v>
      </c>
      <c r="F28" s="13" t="s">
        <v>96</v>
      </c>
      <c r="G28" s="13" t="s">
        <v>115</v>
      </c>
      <c r="H28" s="13" t="s">
        <v>119</v>
      </c>
    </row>
    <row r="29" ht="33.75" customHeight="1">
      <c r="C29" s="13" t="s">
        <v>120</v>
      </c>
      <c r="D29" s="13" t="s">
        <v>96</v>
      </c>
      <c r="E29" s="13" t="s">
        <v>96</v>
      </c>
      <c r="F29" s="13" t="s">
        <v>96</v>
      </c>
      <c r="G29" s="13" t="s">
        <v>115</v>
      </c>
      <c r="H29" s="13" t="s">
        <v>121</v>
      </c>
    </row>
    <row r="30" ht="33.75" customHeight="1">
      <c r="C30" s="13" t="s">
        <v>122</v>
      </c>
      <c r="D30" s="13" t="s">
        <v>96</v>
      </c>
      <c r="E30" s="13" t="s">
        <v>99</v>
      </c>
      <c r="F30" s="13" t="s">
        <v>96</v>
      </c>
      <c r="G30" s="13" t="s">
        <v>115</v>
      </c>
      <c r="H30" s="13" t="s">
        <v>123</v>
      </c>
    </row>
    <row r="31" ht="33.75" customHeight="1">
      <c r="C31" s="13" t="s">
        <v>124</v>
      </c>
      <c r="D31" s="13" t="s">
        <v>96</v>
      </c>
      <c r="E31" s="13" t="s">
        <v>96</v>
      </c>
      <c r="F31" s="13" t="s">
        <v>96</v>
      </c>
      <c r="G31" s="13" t="s">
        <v>115</v>
      </c>
      <c r="H31" s="13" t="s">
        <v>121</v>
      </c>
    </row>
    <row r="32" ht="33.75" customHeight="1">
      <c r="C32" s="13" t="s">
        <v>125</v>
      </c>
      <c r="D32" s="13" t="s">
        <v>126</v>
      </c>
      <c r="E32" s="13" t="s">
        <v>127</v>
      </c>
      <c r="F32" s="13" t="s">
        <v>128</v>
      </c>
      <c r="G32" s="13" t="s">
        <v>129</v>
      </c>
      <c r="H32" s="13" t="s">
        <v>130</v>
      </c>
    </row>
    <row r="33" ht="33.75" customHeight="1">
      <c r="C33" s="18" t="s">
        <v>131</v>
      </c>
      <c r="D33" s="18" t="s">
        <v>132</v>
      </c>
      <c r="E33" s="18" t="s">
        <v>133</v>
      </c>
      <c r="F33" s="18" t="s">
        <v>133</v>
      </c>
      <c r="G33" s="18" t="s">
        <v>134</v>
      </c>
      <c r="H33" s="18" t="s">
        <v>135</v>
      </c>
    </row>
    <row r="36" ht="19.5" customHeight="1">
      <c r="C36" s="6" t="s">
        <v>136</v>
      </c>
      <c r="D36" s="6"/>
      <c r="E36" s="6"/>
      <c r="F36" s="6"/>
      <c r="G36" s="6"/>
      <c r="H36" s="6"/>
      <c r="I36" s="6"/>
      <c r="J36" s="6"/>
    </row>
    <row r="37" ht="30" customHeight="1">
      <c r="C37" s="46" t="s">
        <v>137</v>
      </c>
      <c r="D37" s="46"/>
      <c r="E37" s="46"/>
      <c r="F37" s="46"/>
      <c r="G37" s="46"/>
      <c r="H37" s="46"/>
      <c r="I37" s="46"/>
      <c r="J37" s="46"/>
    </row>
    <row r="38" ht="30" customHeight="1">
      <c r="C38" s="46"/>
      <c r="D38" s="46"/>
      <c r="E38" s="46"/>
      <c r="F38" s="46"/>
      <c r="G38" s="46"/>
      <c r="H38" s="46"/>
      <c r="I38" s="46"/>
      <c r="J38" s="46"/>
    </row>
    <row r="39" ht="30" customHeight="1">
      <c r="C39" s="46"/>
      <c r="D39" s="46"/>
      <c r="E39" s="46"/>
      <c r="F39" s="46"/>
      <c r="G39" s="46"/>
      <c r="H39" s="46"/>
      <c r="I39" s="46"/>
      <c r="J39" s="46"/>
    </row>
  </sheetData>
  <mergeCells>
    <mergeCell ref="C4:J4"/>
    <mergeCell ref="C9:F9"/>
    <mergeCell ref="C17:F17"/>
    <mergeCell ref="C25:H25"/>
    <mergeCell ref="C36:J36"/>
    <mergeCell ref="C37:J39"/>
  </mergeCells>
  <printOptions headings="1"/>
  <pageMargins left="0.75" right="0.75" top="1" bottom="1" header="0.51" footer="0.5"/>
  <pageSetup useFirstPageNumber="1" paperSize="1" fitToHeight="0" pageOrder="downThenOver" orientation="landscape"/>
  <headerFooter>
    <oddFooter>&amp;L&amp;C&amp;8 &amp;K666666Supuestos | Página &amp;P de &amp;N&amp;R</oddFooter>
  </headerFooter>
  <legacyDrawing r:id="rId2"/>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8A98D238-9DB8-D658-F018-D6E40E4D55DD}" mc:Ignorable="x14ac xr xr2 xr3">
  <sheetPr>
    <pageSetUpPr fitToPage="1"/>
  </sheetPr>
  <dimension ref="A1:AI22"/>
  <sheetViews>
    <sheetView workbookViewId="0">
      <pane xSplit="5" ySplit="1" topLeftCell="F11" activePane="bottomRight" state="frozen"/>
      <selection pane="bottomLeft" activeCell="A2" sqref="A2"/>
      <selection pane="topRight" activeCell="F1" sqref="F1"/>
      <selection pane="bottomRight" activeCell="A1" sqref="A1"/>
    </sheetView>
  </sheetViews>
  <sheetFormatPr defaultRowHeight="15" defaultColWidth="8.57421875" customHeight="1"/>
  <cols>
    <col min="1" max="2" style="34" width="20.00390625" customWidth="1"/>
    <col min="3" max="3" style="34" width="11.00390625" customWidth="1"/>
    <col min="4" max="4" style="34" width="33.00390625" customWidth="1"/>
    <col min="5" max="5" style="34" width="23.00390625" customWidth="1"/>
    <col min="6" max="6" style="34" width="13.00390625" customWidth="1"/>
    <col min="7" max="8" style="34" width="11.00390625" customWidth="1"/>
    <col min="9" max="9" style="34" width="12.00390625" customWidth="1"/>
    <col min="10" max="10" style="34" width="11.00390625" customWidth="1"/>
    <col min="11" max="11" style="34" width="14.00390625" customWidth="1"/>
    <col min="12" max="12" style="34" width="12.00390625" customWidth="1"/>
    <col min="13" max="14" style="34" width="11.00390625" customWidth="1"/>
    <col min="15" max="15" style="34" width="16.00390625" customWidth="1"/>
    <col min="16" max="17" style="34" width="11.00390625" customWidth="1"/>
    <col min="18" max="18" style="34" width="12.00390625" customWidth="1"/>
    <col min="19" max="19" style="34" width="11.00390625" customWidth="1"/>
    <col min="20" max="20" style="34" width="14.00390625" customWidth="1"/>
    <col min="21" max="21" style="34" width="11.00390625" customWidth="1"/>
    <col min="22" max="22" style="34" width="12.00390625" customWidth="1"/>
    <col min="23" max="23" style="34" width="13.00390625" customWidth="1"/>
    <col min="24" max="24" style="34" width="12.00390625" customWidth="1"/>
    <col min="25" max="25" style="34" width="11.00390625" customWidth="1"/>
    <col min="26" max="26" style="34" width="12.00390625" customWidth="1"/>
    <col min="27" max="27" style="34" width="19.00390625" customWidth="1"/>
    <col min="28" max="29" style="34" width="11.00390625" customWidth="1"/>
    <col min="30" max="30" style="34" width="13.00390625" customWidth="1"/>
    <col min="31" max="31" style="34" width="17.00390625" customWidth="1"/>
    <col min="32" max="32" style="34" width="18.00390625" customWidth="1"/>
    <col min="33" max="33" style="34" width="15.00390625" customWidth="1"/>
    <col min="34" max="34" style="34" width="17.00390625" customWidth="1"/>
    <col min="35" max="35" style="34" width="15.00390625" customWidth="1"/>
  </cols>
  <sheetData>
    <row r="1" ht="1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4" ht="24.75" customHeight="1">
      <c r="C4" s="3" t="s">
        <v>138</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row>
    <row r="6" ht="15" customHeight="1">
      <c r="C6" s="4" t="s">
        <v>139</v>
      </c>
    </row>
    <row r="7" ht="15" customHeight="1">
      <c r="C7" s="5" t="s">
        <v>140</v>
      </c>
    </row>
    <row r="9" ht="19.5" customHeight="1">
      <c r="C9" s="6" t="s">
        <v>141</v>
      </c>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row>
    <row r="11" ht="33.75" customHeight="1">
      <c r="C11" s="7" t="s">
        <v>142</v>
      </c>
      <c r="D11" s="7" t="s">
        <v>42</v>
      </c>
      <c r="E11" s="7" t="s">
        <v>41</v>
      </c>
      <c r="F11" s="7" t="s">
        <v>143</v>
      </c>
      <c r="G11" s="7" t="s">
        <v>144</v>
      </c>
      <c r="H11" s="7" t="s">
        <v>145</v>
      </c>
      <c r="I11" s="7" t="s">
        <v>146</v>
      </c>
      <c r="J11" s="7" t="s">
        <v>147</v>
      </c>
      <c r="K11" s="7" t="s">
        <v>148</v>
      </c>
      <c r="L11" s="7" t="s">
        <v>149</v>
      </c>
      <c r="M11" s="7" t="s">
        <v>150</v>
      </c>
      <c r="N11" s="7" t="s">
        <v>151</v>
      </c>
      <c r="O11" s="7" t="s">
        <v>152</v>
      </c>
      <c r="P11" s="7" t="s">
        <v>153</v>
      </c>
      <c r="Q11" s="7" t="s">
        <v>154</v>
      </c>
      <c r="R11" s="7" t="s">
        <v>155</v>
      </c>
      <c r="S11" s="7" t="s">
        <v>156</v>
      </c>
      <c r="T11" s="7" t="s">
        <v>157</v>
      </c>
      <c r="U11" s="7" t="s">
        <v>158</v>
      </c>
      <c r="V11" s="7" t="s">
        <v>159</v>
      </c>
      <c r="W11" s="7" t="s">
        <v>160</v>
      </c>
      <c r="X11" s="7" t="s">
        <v>161</v>
      </c>
      <c r="Y11" s="7" t="s">
        <v>162</v>
      </c>
      <c r="Z11" s="7" t="s">
        <v>163</v>
      </c>
      <c r="AA11" s="7" t="s">
        <v>164</v>
      </c>
      <c r="AB11" s="7" t="s">
        <v>165</v>
      </c>
      <c r="AC11" s="7" t="s">
        <v>166</v>
      </c>
      <c r="AD11" s="7" t="s">
        <v>167</v>
      </c>
      <c r="AE11" s="7" t="s">
        <v>168</v>
      </c>
      <c r="AF11" s="7" t="s">
        <v>169</v>
      </c>
      <c r="AG11" s="7" t="s">
        <v>170</v>
      </c>
      <c r="AH11" s="7" t="s">
        <v>171</v>
      </c>
      <c r="AI11" s="7" t="s">
        <v>172</v>
      </c>
    </row>
    <row r="12" ht="27.75" customHeight="1">
      <c r="C12" s="47">
        <v>1</v>
      </c>
      <c r="D12" s="48" t="s">
        <v>49</v>
      </c>
      <c r="E12" s="48" t="s">
        <v>48</v>
      </c>
      <c r="F12" s="49">
        <v>360000</v>
      </c>
      <c r="G12" s="50">
        <v>36000</v>
      </c>
      <c r="H12" s="50">
        <v>12000</v>
      </c>
      <c r="I12" s="50">
        <v>20000</v>
      </c>
      <c r="J12" s="50">
        <v>24000</v>
      </c>
      <c r="K12" s="50">
        <v>72000</v>
      </c>
      <c r="L12" s="51">
        <f t="shared" si="0" ref="L12:U20">SUM(F12:K12)</f>
        <v>524000</v>
      </c>
      <c r="M12" s="50">
        <v>524000</v>
      </c>
      <c r="N12" s="52">
        <f t="shared" si="1" ref="N12:N20">L12-M12</f>
        <v>0</v>
      </c>
      <c r="O12" s="53">
        <f>F12/12*Supuestos!$D$10</f>
        <v>180000</v>
      </c>
      <c r="P12" s="54">
        <f>G12/12*Supuestos!$D$10</f>
        <v>18000</v>
      </c>
      <c r="Q12" s="54">
        <f>H12/12*Supuestos!$D$10</f>
        <v>6000</v>
      </c>
      <c r="R12" s="54">
        <f>I12/12*Supuestos!$D$10</f>
        <v>10000</v>
      </c>
      <c r="S12" s="54">
        <f>J12/12*Supuestos!$D$10</f>
        <v>12000</v>
      </c>
      <c r="T12" s="54">
        <f>K12/12*Supuestos!$D$10*Supuestos!$D$12</f>
        <v>0</v>
      </c>
      <c r="U12" s="55">
        <f t="shared" si="0"/>
        <v>226000</v>
      </c>
      <c r="V12" s="56" t="s">
        <v>50</v>
      </c>
      <c r="W12" s="56" t="s">
        <v>51</v>
      </c>
      <c r="X12" s="56" t="s">
        <v>173</v>
      </c>
      <c r="Y12" s="57" t="str">
        <f t="shared" si="2" ref="Y12:Y20">IF(X12="Automático",IF(W12="Caracas","Sí",IF(W12="Maracaibo","No",IF(W12="Otro","Sí","Por definir"))),X12)</f>
        <v>Por definir</v>
      </c>
      <c r="Z12" s="49">
        <v>0</v>
      </c>
      <c r="AA12" s="53">
        <f>IF(V12="Expatriado",(F12+G12+H12+I12+J12+K12*Supuestos!$D$14)/12*Supuestos!$D$11,IF(V12="Repatriado",(F12+H12+J12+K12*Supuestos!$D$13+IF(Y12="No",0,G12))/12*Supuestos!$D$11,0))</f>
        <v>262000</v>
      </c>
      <c r="AB12" s="55">
        <f t="shared" si="3" ref="AB12:AB20">AA12+Z12</f>
        <v>262000</v>
      </c>
      <c r="AC12" s="55">
        <f t="shared" si="4" ref="AC12:AC20">U12+AB12</f>
        <v>488000</v>
      </c>
      <c r="AD12" s="52">
        <f t="shared" si="5" ref="AD12:AD20">M12-AC12</f>
        <v>36000</v>
      </c>
      <c r="AE12" s="52">
        <f>IF(V12="Expatriado",F12+G12+H12+I12+J12+K12*Supuestos!$D$14,IF(V12="Repatriado",F12+H12+J12+K12*Supuestos!$D$13+IF(Y12="No",0,G12),0))</f>
        <v>524000</v>
      </c>
      <c r="AF12" s="58" t="str">
        <f t="shared" si="6" ref="AF12:AF20">IF(V12="Por definir","Definir paquete",IF(W12="Por definir","Definir ciudad",IF(AND(V12="Repatriado",Y12="Por definir"),"Definir vivienda","Completo")))</f>
        <v>Definir ciudad</v>
      </c>
      <c r="AG12" s="53">
        <f>U12/Supuestos!$D$10</f>
        <v>37666.6666666667</v>
      </c>
      <c r="AH12" s="54">
        <f>AA12/Supuestos!$D$11</f>
        <v>43666.6666666667</v>
      </c>
      <c r="AI12" s="52">
        <f t="shared" si="7" ref="AI12:AI20">AH12+Z12</f>
        <v>43666.6666666667</v>
      </c>
    </row>
    <row r="13" ht="27.75" customHeight="1">
      <c r="C13" s="47">
        <v>2</v>
      </c>
      <c r="D13" s="48" t="s">
        <v>53</v>
      </c>
      <c r="E13" s="48" t="s">
        <v>52</v>
      </c>
      <c r="F13" s="49">
        <v>216000</v>
      </c>
      <c r="G13" s="50">
        <v>24000</v>
      </c>
      <c r="H13" s="50">
        <v>12000</v>
      </c>
      <c r="I13" s="50">
        <v>12000</v>
      </c>
      <c r="J13" s="50">
        <v>18000</v>
      </c>
      <c r="K13" s="50">
        <v>43200</v>
      </c>
      <c r="L13" s="51">
        <f t="shared" si="0"/>
        <v>325200</v>
      </c>
      <c r="M13" s="50">
        <v>325200</v>
      </c>
      <c r="N13" s="52">
        <f t="shared" si="1"/>
        <v>0</v>
      </c>
      <c r="O13" s="53">
        <f>F13/12*Supuestos!$D$10</f>
        <v>108000</v>
      </c>
      <c r="P13" s="54">
        <f>G13/12*Supuestos!$D$10</f>
        <v>12000</v>
      </c>
      <c r="Q13" s="54">
        <f>H13/12*Supuestos!$D$10</f>
        <v>6000</v>
      </c>
      <c r="R13" s="54">
        <f>I13/12*Supuestos!$D$10</f>
        <v>6000</v>
      </c>
      <c r="S13" s="54">
        <f>J13/12*Supuestos!$D$10</f>
        <v>9000</v>
      </c>
      <c r="T13" s="54">
        <f>K13/12*Supuestos!$D$10*Supuestos!$D$12</f>
        <v>0</v>
      </c>
      <c r="U13" s="55">
        <f t="shared" si="0"/>
        <v>141000</v>
      </c>
      <c r="V13" s="56" t="s">
        <v>50</v>
      </c>
      <c r="W13" s="56" t="s">
        <v>51</v>
      </c>
      <c r="X13" s="56" t="s">
        <v>173</v>
      </c>
      <c r="Y13" s="57" t="str">
        <f t="shared" si="2"/>
        <v>Por definir</v>
      </c>
      <c r="Z13" s="49">
        <v>0</v>
      </c>
      <c r="AA13" s="53">
        <f>IF(V13="Expatriado",(F13+G13+H13+I13+J13+K13*Supuestos!$D$14)/12*Supuestos!$D$11,IF(V13="Repatriado",(F13+H13+J13+K13*Supuestos!$D$13+IF(Y13="No",0,G13))/12*Supuestos!$D$11,0))</f>
        <v>162600</v>
      </c>
      <c r="AB13" s="55">
        <f t="shared" si="3"/>
        <v>162600</v>
      </c>
      <c r="AC13" s="55">
        <f t="shared" si="4"/>
        <v>303600</v>
      </c>
      <c r="AD13" s="52">
        <f t="shared" si="5"/>
        <v>21600</v>
      </c>
      <c r="AE13" s="52">
        <f>IF(V13="Expatriado",F13+G13+H13+I13+J13+K13*Supuestos!$D$14,IF(V13="Repatriado",F13+H13+J13+K13*Supuestos!$D$13+IF(Y13="No",0,G13),0))</f>
        <v>325200</v>
      </c>
      <c r="AF13" s="58" t="str">
        <f t="shared" si="6"/>
        <v>Definir ciudad</v>
      </c>
      <c r="AG13" s="53">
        <f>U13/Supuestos!$D$10</f>
        <v>23500</v>
      </c>
      <c r="AH13" s="54">
        <f>AA13/Supuestos!$D$11</f>
        <v>27100</v>
      </c>
      <c r="AI13" s="52">
        <f t="shared" si="7"/>
        <v>27100</v>
      </c>
    </row>
    <row r="14" ht="27.75" customHeight="1">
      <c r="C14" s="47">
        <v>3</v>
      </c>
      <c r="D14" s="48" t="s">
        <v>56</v>
      </c>
      <c r="E14" s="48" t="s">
        <v>55</v>
      </c>
      <c r="F14" s="49">
        <v>180000</v>
      </c>
      <c r="G14" s="50">
        <v>24000</v>
      </c>
      <c r="H14" s="50">
        <v>12000</v>
      </c>
      <c r="I14" s="50">
        <v>12000</v>
      </c>
      <c r="J14" s="50">
        <v>18000</v>
      </c>
      <c r="K14" s="50">
        <v>36000</v>
      </c>
      <c r="L14" s="51">
        <f t="shared" si="0"/>
        <v>282000</v>
      </c>
      <c r="M14" s="50">
        <v>282000</v>
      </c>
      <c r="N14" s="52">
        <f t="shared" si="1"/>
        <v>0</v>
      </c>
      <c r="O14" s="53">
        <f>F14/12*Supuestos!$D$10</f>
        <v>90000</v>
      </c>
      <c r="P14" s="54">
        <f>G14/12*Supuestos!$D$10</f>
        <v>12000</v>
      </c>
      <c r="Q14" s="54">
        <f>H14/12*Supuestos!$D$10</f>
        <v>6000</v>
      </c>
      <c r="R14" s="54">
        <f>I14/12*Supuestos!$D$10</f>
        <v>6000</v>
      </c>
      <c r="S14" s="54">
        <f>J14/12*Supuestos!$D$10</f>
        <v>9000</v>
      </c>
      <c r="T14" s="54">
        <f>K14/12*Supuestos!$D$10*Supuestos!$D$12</f>
        <v>0</v>
      </c>
      <c r="U14" s="55">
        <f t="shared" si="0"/>
        <v>123000</v>
      </c>
      <c r="V14" s="56" t="s">
        <v>50</v>
      </c>
      <c r="W14" s="56" t="s">
        <v>51</v>
      </c>
      <c r="X14" s="56" t="s">
        <v>173</v>
      </c>
      <c r="Y14" s="57" t="str">
        <f t="shared" si="2"/>
        <v>Por definir</v>
      </c>
      <c r="Z14" s="49">
        <v>0</v>
      </c>
      <c r="AA14" s="53">
        <f>IF(V14="Expatriado",(F14+G14+H14+I14+J14+K14*Supuestos!$D$14)/12*Supuestos!$D$11,IF(V14="Repatriado",(F14+H14+J14+K14*Supuestos!$D$13+IF(Y14="No",0,G14))/12*Supuestos!$D$11,0))</f>
        <v>141000</v>
      </c>
      <c r="AB14" s="55">
        <f t="shared" si="3"/>
        <v>141000</v>
      </c>
      <c r="AC14" s="55">
        <f t="shared" si="4"/>
        <v>264000</v>
      </c>
      <c r="AD14" s="52">
        <f t="shared" si="5"/>
        <v>18000</v>
      </c>
      <c r="AE14" s="52">
        <f>IF(V14="Expatriado",F14+G14+H14+I14+J14+K14*Supuestos!$D$14,IF(V14="Repatriado",F14+H14+J14+K14*Supuestos!$D$13+IF(Y14="No",0,G14),0))</f>
        <v>282000</v>
      </c>
      <c r="AF14" s="58" t="str">
        <f t="shared" si="6"/>
        <v>Definir ciudad</v>
      </c>
      <c r="AG14" s="53">
        <f>U14/Supuestos!$D$10</f>
        <v>20500</v>
      </c>
      <c r="AH14" s="54">
        <f>AA14/Supuestos!$D$11</f>
        <v>23500</v>
      </c>
      <c r="AI14" s="52">
        <f t="shared" si="7"/>
        <v>23500</v>
      </c>
    </row>
    <row r="15" ht="27.75" customHeight="1">
      <c r="C15" s="47">
        <v>4</v>
      </c>
      <c r="D15" s="48" t="s">
        <v>59</v>
      </c>
      <c r="E15" s="48" t="s">
        <v>58</v>
      </c>
      <c r="F15" s="49">
        <v>216000</v>
      </c>
      <c r="G15" s="50">
        <v>24000</v>
      </c>
      <c r="H15" s="50">
        <v>12000</v>
      </c>
      <c r="I15" s="50">
        <v>12000</v>
      </c>
      <c r="J15" s="50">
        <v>18000</v>
      </c>
      <c r="K15" s="50">
        <v>43200</v>
      </c>
      <c r="L15" s="51">
        <f t="shared" si="0"/>
        <v>325200</v>
      </c>
      <c r="M15" s="50">
        <v>325200</v>
      </c>
      <c r="N15" s="52">
        <f t="shared" si="1"/>
        <v>0</v>
      </c>
      <c r="O15" s="53">
        <f>F15/12*Supuestos!$D$10</f>
        <v>108000</v>
      </c>
      <c r="P15" s="54">
        <f>G15/12*Supuestos!$D$10</f>
        <v>12000</v>
      </c>
      <c r="Q15" s="54">
        <f>H15/12*Supuestos!$D$10</f>
        <v>6000</v>
      </c>
      <c r="R15" s="54">
        <f>I15/12*Supuestos!$D$10</f>
        <v>6000</v>
      </c>
      <c r="S15" s="54">
        <f>J15/12*Supuestos!$D$10</f>
        <v>9000</v>
      </c>
      <c r="T15" s="54">
        <f>K15/12*Supuestos!$D$10*Supuestos!$D$12</f>
        <v>0</v>
      </c>
      <c r="U15" s="55">
        <f t="shared" si="0"/>
        <v>141000</v>
      </c>
      <c r="V15" s="56" t="s">
        <v>50</v>
      </c>
      <c r="W15" s="56" t="s">
        <v>51</v>
      </c>
      <c r="X15" s="56" t="s">
        <v>173</v>
      </c>
      <c r="Y15" s="57" t="str">
        <f t="shared" si="2"/>
        <v>Por definir</v>
      </c>
      <c r="Z15" s="49">
        <v>0</v>
      </c>
      <c r="AA15" s="53">
        <f>IF(V15="Expatriado",(F15+G15+H15+I15+J15+K15*Supuestos!$D$14)/12*Supuestos!$D$11,IF(V15="Repatriado",(F15+H15+J15+K15*Supuestos!$D$13+IF(Y15="No",0,G15))/12*Supuestos!$D$11,0))</f>
        <v>162600</v>
      </c>
      <c r="AB15" s="55">
        <f t="shared" si="3"/>
        <v>162600</v>
      </c>
      <c r="AC15" s="55">
        <f t="shared" si="4"/>
        <v>303600</v>
      </c>
      <c r="AD15" s="52">
        <f t="shared" si="5"/>
        <v>21600</v>
      </c>
      <c r="AE15" s="52">
        <f>IF(V15="Expatriado",F15+G15+H15+I15+J15+K15*Supuestos!$D$14,IF(V15="Repatriado",F15+H15+J15+K15*Supuestos!$D$13+IF(Y15="No",0,G15),0))</f>
        <v>325200</v>
      </c>
      <c r="AF15" s="58" t="str">
        <f t="shared" si="6"/>
        <v>Definir ciudad</v>
      </c>
      <c r="AG15" s="53">
        <f>U15/Supuestos!$D$10</f>
        <v>23500</v>
      </c>
      <c r="AH15" s="54">
        <f>AA15/Supuestos!$D$11</f>
        <v>27100</v>
      </c>
      <c r="AI15" s="52">
        <f t="shared" si="7"/>
        <v>27100</v>
      </c>
    </row>
    <row r="16" ht="27.75" customHeight="1">
      <c r="C16" s="47">
        <v>5</v>
      </c>
      <c r="D16" s="48" t="s">
        <v>62</v>
      </c>
      <c r="E16" s="48" t="s">
        <v>61</v>
      </c>
      <c r="F16" s="49">
        <v>180000</v>
      </c>
      <c r="G16" s="50">
        <v>24000</v>
      </c>
      <c r="H16" s="50">
        <v>12000</v>
      </c>
      <c r="I16" s="50">
        <v>12000</v>
      </c>
      <c r="J16" s="50">
        <v>18000</v>
      </c>
      <c r="K16" s="50">
        <v>36000</v>
      </c>
      <c r="L16" s="51">
        <f t="shared" si="0"/>
        <v>282000</v>
      </c>
      <c r="M16" s="50">
        <v>282000</v>
      </c>
      <c r="N16" s="52">
        <f t="shared" si="1"/>
        <v>0</v>
      </c>
      <c r="O16" s="53">
        <f>F16/12*Supuestos!$D$10</f>
        <v>90000</v>
      </c>
      <c r="P16" s="54">
        <f>G16/12*Supuestos!$D$10</f>
        <v>12000</v>
      </c>
      <c r="Q16" s="54">
        <f>H16/12*Supuestos!$D$10</f>
        <v>6000</v>
      </c>
      <c r="R16" s="54">
        <f>I16/12*Supuestos!$D$10</f>
        <v>6000</v>
      </c>
      <c r="S16" s="54">
        <f>J16/12*Supuestos!$D$10</f>
        <v>9000</v>
      </c>
      <c r="T16" s="54">
        <f>K16/12*Supuestos!$D$10*Supuestos!$D$12</f>
        <v>0</v>
      </c>
      <c r="U16" s="55">
        <f t="shared" si="0"/>
        <v>123000</v>
      </c>
      <c r="V16" s="56" t="s">
        <v>50</v>
      </c>
      <c r="W16" s="56" t="s">
        <v>51</v>
      </c>
      <c r="X16" s="56" t="s">
        <v>173</v>
      </c>
      <c r="Y16" s="57" t="str">
        <f t="shared" si="2"/>
        <v>Por definir</v>
      </c>
      <c r="Z16" s="49">
        <v>0</v>
      </c>
      <c r="AA16" s="53">
        <f>IF(V16="Expatriado",(F16+G16+H16+I16+J16+K16*Supuestos!$D$14)/12*Supuestos!$D$11,IF(V16="Repatriado",(F16+H16+J16+K16*Supuestos!$D$13+IF(Y16="No",0,G16))/12*Supuestos!$D$11,0))</f>
        <v>141000</v>
      </c>
      <c r="AB16" s="55">
        <f t="shared" si="3"/>
        <v>141000</v>
      </c>
      <c r="AC16" s="55">
        <f t="shared" si="4"/>
        <v>264000</v>
      </c>
      <c r="AD16" s="52">
        <f t="shared" si="5"/>
        <v>18000</v>
      </c>
      <c r="AE16" s="52">
        <f>IF(V16="Expatriado",F16+G16+H16+I16+J16+K16*Supuestos!$D$14,IF(V16="Repatriado",F16+H16+J16+K16*Supuestos!$D$13+IF(Y16="No",0,G16),0))</f>
        <v>282000</v>
      </c>
      <c r="AF16" s="58" t="str">
        <f t="shared" si="6"/>
        <v>Definir ciudad</v>
      </c>
      <c r="AG16" s="53">
        <f>U16/Supuestos!$D$10</f>
        <v>20500</v>
      </c>
      <c r="AH16" s="54">
        <f>AA16/Supuestos!$D$11</f>
        <v>23500</v>
      </c>
      <c r="AI16" s="52">
        <f t="shared" si="7"/>
        <v>23500</v>
      </c>
    </row>
    <row r="17" ht="27.75" customHeight="1">
      <c r="C17" s="47">
        <v>6</v>
      </c>
      <c r="D17" s="48" t="s">
        <v>64</v>
      </c>
      <c r="E17" s="48" t="s">
        <v>63</v>
      </c>
      <c r="F17" s="49">
        <v>120000</v>
      </c>
      <c r="G17" s="50">
        <v>18000</v>
      </c>
      <c r="H17" s="50">
        <v>12000</v>
      </c>
      <c r="I17" s="50">
        <v>12000</v>
      </c>
      <c r="J17" s="50">
        <v>12000</v>
      </c>
      <c r="K17" s="50">
        <v>20000</v>
      </c>
      <c r="L17" s="51">
        <f t="shared" si="0"/>
        <v>194000</v>
      </c>
      <c r="M17" s="50">
        <v>194000</v>
      </c>
      <c r="N17" s="52">
        <f t="shared" si="1"/>
        <v>0</v>
      </c>
      <c r="O17" s="53">
        <f>F17/12*Supuestos!$D$10</f>
        <v>60000</v>
      </c>
      <c r="P17" s="54">
        <f>G17/12*Supuestos!$D$10</f>
        <v>9000</v>
      </c>
      <c r="Q17" s="54">
        <f>H17/12*Supuestos!$D$10</f>
        <v>6000</v>
      </c>
      <c r="R17" s="54">
        <f>I17/12*Supuestos!$D$10</f>
        <v>6000</v>
      </c>
      <c r="S17" s="54">
        <f>J17/12*Supuestos!$D$10</f>
        <v>6000</v>
      </c>
      <c r="T17" s="54">
        <f>K17/12*Supuestos!$D$10*Supuestos!$D$12</f>
        <v>0</v>
      </c>
      <c r="U17" s="55">
        <f t="shared" si="0"/>
        <v>87000</v>
      </c>
      <c r="V17" s="56" t="s">
        <v>50</v>
      </c>
      <c r="W17" s="56" t="s">
        <v>51</v>
      </c>
      <c r="X17" s="56" t="s">
        <v>173</v>
      </c>
      <c r="Y17" s="57" t="str">
        <f t="shared" si="2"/>
        <v>Por definir</v>
      </c>
      <c r="Z17" s="49">
        <v>0</v>
      </c>
      <c r="AA17" s="53">
        <f>IF(V17="Expatriado",(F17+G17+H17+I17+J17+K17*Supuestos!$D$14)/12*Supuestos!$D$11,IF(V17="Repatriado",(F17+H17+J17+K17*Supuestos!$D$13+IF(Y17="No",0,G17))/12*Supuestos!$D$11,0))</f>
        <v>97000</v>
      </c>
      <c r="AB17" s="55">
        <f t="shared" si="3"/>
        <v>97000</v>
      </c>
      <c r="AC17" s="55">
        <f t="shared" si="4"/>
        <v>184000</v>
      </c>
      <c r="AD17" s="52">
        <f t="shared" si="5"/>
        <v>10000</v>
      </c>
      <c r="AE17" s="52">
        <f>IF(V17="Expatriado",F17+G17+H17+I17+J17+K17*Supuestos!$D$14,IF(V17="Repatriado",F17+H17+J17+K17*Supuestos!$D$13+IF(Y17="No",0,G17),0))</f>
        <v>194000</v>
      </c>
      <c r="AF17" s="58" t="str">
        <f t="shared" si="6"/>
        <v>Definir ciudad</v>
      </c>
      <c r="AG17" s="53">
        <f>U17/Supuestos!$D$10</f>
        <v>14500</v>
      </c>
      <c r="AH17" s="54">
        <f>AA17/Supuestos!$D$11</f>
        <v>16166.6666666667</v>
      </c>
      <c r="AI17" s="52">
        <f t="shared" si="7"/>
        <v>16166.6666666667</v>
      </c>
    </row>
    <row r="18" ht="27.75" customHeight="1">
      <c r="C18" s="47">
        <v>7</v>
      </c>
      <c r="D18" s="48" t="s">
        <v>67</v>
      </c>
      <c r="E18" s="48" t="s">
        <v>66</v>
      </c>
      <c r="F18" s="49">
        <v>180000</v>
      </c>
      <c r="G18" s="50">
        <v>24000</v>
      </c>
      <c r="H18" s="50">
        <v>12000</v>
      </c>
      <c r="I18" s="50">
        <v>12000</v>
      </c>
      <c r="J18" s="50">
        <v>18000</v>
      </c>
      <c r="K18" s="50">
        <v>36000</v>
      </c>
      <c r="L18" s="51">
        <f t="shared" si="0"/>
        <v>282000</v>
      </c>
      <c r="M18" s="50">
        <v>282000</v>
      </c>
      <c r="N18" s="52">
        <f t="shared" si="1"/>
        <v>0</v>
      </c>
      <c r="O18" s="53">
        <f>F18/12*Supuestos!$D$10</f>
        <v>90000</v>
      </c>
      <c r="P18" s="54">
        <f>G18/12*Supuestos!$D$10</f>
        <v>12000</v>
      </c>
      <c r="Q18" s="54">
        <f>H18/12*Supuestos!$D$10</f>
        <v>6000</v>
      </c>
      <c r="R18" s="54">
        <f>I18/12*Supuestos!$D$10</f>
        <v>6000</v>
      </c>
      <c r="S18" s="54">
        <f>J18/12*Supuestos!$D$10</f>
        <v>9000</v>
      </c>
      <c r="T18" s="54">
        <f>K18/12*Supuestos!$D$10*Supuestos!$D$12</f>
        <v>0</v>
      </c>
      <c r="U18" s="55">
        <f t="shared" si="0"/>
        <v>123000</v>
      </c>
      <c r="V18" s="56" t="s">
        <v>50</v>
      </c>
      <c r="W18" s="56" t="s">
        <v>51</v>
      </c>
      <c r="X18" s="56" t="s">
        <v>173</v>
      </c>
      <c r="Y18" s="57" t="str">
        <f t="shared" si="2"/>
        <v>Por definir</v>
      </c>
      <c r="Z18" s="49">
        <v>0</v>
      </c>
      <c r="AA18" s="53">
        <f>IF(V18="Expatriado",(F18+G18+H18+I18+J18+K18*Supuestos!$D$14)/12*Supuestos!$D$11,IF(V18="Repatriado",(F18+H18+J18+K18*Supuestos!$D$13+IF(Y18="No",0,G18))/12*Supuestos!$D$11,0))</f>
        <v>141000</v>
      </c>
      <c r="AB18" s="55">
        <f t="shared" si="3"/>
        <v>141000</v>
      </c>
      <c r="AC18" s="55">
        <f t="shared" si="4"/>
        <v>264000</v>
      </c>
      <c r="AD18" s="52">
        <f t="shared" si="5"/>
        <v>18000</v>
      </c>
      <c r="AE18" s="52">
        <f>IF(V18="Expatriado",F18+G18+H18+I18+J18+K18*Supuestos!$D$14,IF(V18="Repatriado",F18+H18+J18+K18*Supuestos!$D$13+IF(Y18="No",0,G18),0))</f>
        <v>282000</v>
      </c>
      <c r="AF18" s="58" t="str">
        <f t="shared" si="6"/>
        <v>Definir ciudad</v>
      </c>
      <c r="AG18" s="53">
        <f>U18/Supuestos!$D$10</f>
        <v>20500</v>
      </c>
      <c r="AH18" s="54">
        <f>AA18/Supuestos!$D$11</f>
        <v>23500</v>
      </c>
      <c r="AI18" s="52">
        <f t="shared" si="7"/>
        <v>23500</v>
      </c>
    </row>
    <row r="19" ht="27.75" customHeight="1">
      <c r="C19" s="47">
        <v>8</v>
      </c>
      <c r="D19" s="48" t="s">
        <v>70</v>
      </c>
      <c r="E19" s="48" t="s">
        <v>69</v>
      </c>
      <c r="F19" s="49">
        <v>48000</v>
      </c>
      <c r="G19" s="50">
        <v>12000</v>
      </c>
      <c r="H19" s="50">
        <v>8000</v>
      </c>
      <c r="I19" s="50">
        <v>0</v>
      </c>
      <c r="J19" s="50">
        <v>7200</v>
      </c>
      <c r="K19" s="50">
        <v>12000</v>
      </c>
      <c r="L19" s="51">
        <f t="shared" si="0"/>
        <v>87200</v>
      </c>
      <c r="M19" s="50">
        <v>87200</v>
      </c>
      <c r="N19" s="52">
        <f t="shared" si="1"/>
        <v>0</v>
      </c>
      <c r="O19" s="53">
        <f>F19/12*Supuestos!$D$10</f>
        <v>24000</v>
      </c>
      <c r="P19" s="54">
        <f>G19/12*Supuestos!$D$10</f>
        <v>6000</v>
      </c>
      <c r="Q19" s="54">
        <f>H19/12*Supuestos!$D$10</f>
        <v>4000</v>
      </c>
      <c r="R19" s="54">
        <f>I19/12*Supuestos!$D$10</f>
        <v>0</v>
      </c>
      <c r="S19" s="54">
        <f>J19/12*Supuestos!$D$10</f>
        <v>3600</v>
      </c>
      <c r="T19" s="54">
        <f>K19/12*Supuestos!$D$10*Supuestos!$D$12</f>
        <v>0</v>
      </c>
      <c r="U19" s="55">
        <f t="shared" si="0"/>
        <v>37600</v>
      </c>
      <c r="V19" s="56" t="s">
        <v>50</v>
      </c>
      <c r="W19" s="56" t="s">
        <v>51</v>
      </c>
      <c r="X19" s="56" t="s">
        <v>173</v>
      </c>
      <c r="Y19" s="57" t="str">
        <f t="shared" si="2"/>
        <v>Por definir</v>
      </c>
      <c r="Z19" s="49">
        <v>0</v>
      </c>
      <c r="AA19" s="53">
        <f>IF(V19="Expatriado",(F19+G19+H19+I19+J19+K19*Supuestos!$D$14)/12*Supuestos!$D$11,IF(V19="Repatriado",(F19+H19+J19+K19*Supuestos!$D$13+IF(Y19="No",0,G19))/12*Supuestos!$D$11,0))</f>
        <v>43600</v>
      </c>
      <c r="AB19" s="55">
        <f t="shared" si="3"/>
        <v>43600</v>
      </c>
      <c r="AC19" s="55">
        <f t="shared" si="4"/>
        <v>81200</v>
      </c>
      <c r="AD19" s="52">
        <f t="shared" si="5"/>
        <v>6000</v>
      </c>
      <c r="AE19" s="52">
        <f>IF(V19="Expatriado",F19+G19+H19+I19+J19+K19*Supuestos!$D$14,IF(V19="Repatriado",F19+H19+J19+K19*Supuestos!$D$13+IF(Y19="No",0,G19),0))</f>
        <v>87200</v>
      </c>
      <c r="AF19" s="58" t="str">
        <f t="shared" si="6"/>
        <v>Definir ciudad</v>
      </c>
      <c r="AG19" s="53">
        <f>U19/Supuestos!$D$10</f>
        <v>6266.66666666667</v>
      </c>
      <c r="AH19" s="54">
        <f>AA19/Supuestos!$D$11</f>
        <v>7266.66666666667</v>
      </c>
      <c r="AI19" s="52">
        <f t="shared" si="7"/>
        <v>7266.66666666667</v>
      </c>
    </row>
    <row r="20" ht="27.75" customHeight="1">
      <c r="C20" s="47">
        <v>9</v>
      </c>
      <c r="D20" s="48" t="s">
        <v>73</v>
      </c>
      <c r="E20" s="48" t="s">
        <v>175</v>
      </c>
      <c r="F20" s="49">
        <v>48000</v>
      </c>
      <c r="G20" s="50">
        <v>12000</v>
      </c>
      <c r="H20" s="50">
        <v>8000</v>
      </c>
      <c r="I20" s="50">
        <v>12000</v>
      </c>
      <c r="J20" s="50">
        <v>7200</v>
      </c>
      <c r="K20" s="50">
        <v>8000</v>
      </c>
      <c r="L20" s="51">
        <f t="shared" si="0"/>
        <v>95200</v>
      </c>
      <c r="M20" s="50">
        <v>95200</v>
      </c>
      <c r="N20" s="52">
        <f t="shared" si="1"/>
        <v>0</v>
      </c>
      <c r="O20" s="53">
        <f>F20/12*Supuestos!$D$10</f>
        <v>24000</v>
      </c>
      <c r="P20" s="54">
        <f>G20/12*Supuestos!$D$10</f>
        <v>6000</v>
      </c>
      <c r="Q20" s="54">
        <f>H20/12*Supuestos!$D$10</f>
        <v>4000</v>
      </c>
      <c r="R20" s="54">
        <f>I20/12*Supuestos!$D$10</f>
        <v>6000</v>
      </c>
      <c r="S20" s="54">
        <f>J20/12*Supuestos!$D$10</f>
        <v>3600</v>
      </c>
      <c r="T20" s="54">
        <f>K20/12*Supuestos!$D$10*Supuestos!$D$12</f>
        <v>0</v>
      </c>
      <c r="U20" s="55">
        <f t="shared" si="0"/>
        <v>43600</v>
      </c>
      <c r="V20" s="56" t="s">
        <v>50</v>
      </c>
      <c r="W20" s="56" t="s">
        <v>51</v>
      </c>
      <c r="X20" s="56" t="s">
        <v>173</v>
      </c>
      <c r="Y20" s="57" t="str">
        <f t="shared" si="2"/>
        <v>Por definir</v>
      </c>
      <c r="Z20" s="49">
        <v>0</v>
      </c>
      <c r="AA20" s="53">
        <f>IF(V20="Expatriado",(F20+G20+H20+I20+J20+K20*Supuestos!$D$14)/12*Supuestos!$D$11,IF(V20="Repatriado",(F20+H20+J20+K20*Supuestos!$D$13+IF(Y20="No",0,G20))/12*Supuestos!$D$11,0))</f>
        <v>47600</v>
      </c>
      <c r="AB20" s="55">
        <f t="shared" si="3"/>
        <v>47600</v>
      </c>
      <c r="AC20" s="55">
        <f t="shared" si="4"/>
        <v>91200</v>
      </c>
      <c r="AD20" s="52">
        <f t="shared" si="5"/>
        <v>4000</v>
      </c>
      <c r="AE20" s="52">
        <f>IF(V20="Expatriado",F20+G20+H20+I20+J20+K20*Supuestos!$D$14,IF(V20="Repatriado",F20+H20+J20+K20*Supuestos!$D$13+IF(Y20="No",0,G20),0))</f>
        <v>95200</v>
      </c>
      <c r="AF20" s="58" t="str">
        <f t="shared" si="6"/>
        <v>Definir ciudad</v>
      </c>
      <c r="AG20" s="53">
        <f>U20/Supuestos!$D$10</f>
        <v>7266.66666666667</v>
      </c>
      <c r="AH20" s="54">
        <f>AA20/Supuestos!$D$11</f>
        <v>7933.33333333333</v>
      </c>
      <c r="AI20" s="52">
        <f t="shared" si="7"/>
        <v>7933.33333333333</v>
      </c>
    </row>
    <row r="22" ht="24" customHeight="1">
      <c r="C22" s="59"/>
      <c r="D22" s="60" t="s">
        <v>176</v>
      </c>
      <c r="E22" s="60"/>
      <c r="F22" s="61">
        <f t="shared" si="8" ref="F22:AI22">SUM(F12:F20)</f>
        <v>1548000</v>
      </c>
      <c r="G22" s="62">
        <f t="shared" si="8"/>
        <v>198000</v>
      </c>
      <c r="H22" s="62">
        <f t="shared" si="8"/>
        <v>100000</v>
      </c>
      <c r="I22" s="62">
        <f t="shared" si="8"/>
        <v>104000</v>
      </c>
      <c r="J22" s="62">
        <f t="shared" si="8"/>
        <v>140400</v>
      </c>
      <c r="K22" s="62">
        <f t="shared" si="8"/>
        <v>306400</v>
      </c>
      <c r="L22" s="62">
        <f t="shared" si="8"/>
        <v>2396800</v>
      </c>
      <c r="M22" s="62">
        <f t="shared" si="8"/>
        <v>2396800</v>
      </c>
      <c r="N22" s="62">
        <f t="shared" si="8"/>
        <v>0</v>
      </c>
      <c r="O22" s="61">
        <f t="shared" si="8"/>
        <v>774000</v>
      </c>
      <c r="P22" s="62">
        <f t="shared" si="8"/>
        <v>99000</v>
      </c>
      <c r="Q22" s="62">
        <f t="shared" si="8"/>
        <v>50000</v>
      </c>
      <c r="R22" s="62">
        <f t="shared" si="8"/>
        <v>52000</v>
      </c>
      <c r="S22" s="62">
        <f t="shared" si="8"/>
        <v>70200</v>
      </c>
      <c r="T22" s="62">
        <f t="shared" si="8"/>
        <v>0</v>
      </c>
      <c r="U22" s="62">
        <f t="shared" si="8"/>
        <v>1045200</v>
      </c>
      <c r="V22" s="59"/>
      <c r="W22" s="59"/>
      <c r="X22" s="59"/>
      <c r="Y22" s="59"/>
      <c r="Z22" s="61">
        <f t="shared" si="8"/>
        <v>0</v>
      </c>
      <c r="AA22" s="62">
        <f t="shared" si="8"/>
        <v>1198400</v>
      </c>
      <c r="AB22" s="62">
        <f t="shared" si="8"/>
        <v>1198400</v>
      </c>
      <c r="AC22" s="62">
        <f t="shared" si="8"/>
        <v>2243600</v>
      </c>
      <c r="AD22" s="62">
        <f t="shared" si="8"/>
        <v>153200</v>
      </c>
      <c r="AE22" s="62">
        <f t="shared" si="8"/>
        <v>2396800</v>
      </c>
      <c r="AF22" s="59"/>
      <c r="AG22" s="62">
        <f t="shared" si="8"/>
        <v>174200</v>
      </c>
      <c r="AH22" s="62">
        <f t="shared" si="8"/>
        <v>199733.333333333</v>
      </c>
      <c r="AI22" s="62">
        <f t="shared" si="8"/>
        <v>199733.333333333</v>
      </c>
    </row>
  </sheetData>
  <autoFilter ref="C11:AI20"/>
  <mergeCells>
    <mergeCell ref="C4:AI4"/>
    <mergeCell ref="C9:AI9"/>
    <mergeCell ref="D22:E22"/>
  </mergeCells>
  <conditionalFormatting sqref="AF12:AF20">
    <cfRule type="expression" dxfId="0" priority="2" text="">
      <formula>AF12&lt;&gt;"Completo"</formula>
    </cfRule>
  </conditionalFormatting>
  <dataValidations count="3">
    <dataValidation sqref="X12:X20" type="list">
      <formula1>"Automático,Sí,No"</formula1>
    </dataValidation>
    <dataValidation sqref="W12:W20" type="list">
      <formula1>"Caracas,Maracaibo,Otro,Por definir"</formula1>
    </dataValidation>
    <dataValidation sqref="V12:V20" type="list">
      <formula1>"Expatriado,Repatriado,Por definir"</formula1>
    </dataValidation>
  </dataValidations>
  <printOptions headings="1"/>
  <pageMargins left="0.75" right="0.75" top="1" bottom="1" header="0.51" footer="0.5"/>
  <pageSetup useFirstPageNumber="1" paperSize="1" fitToHeight="0" pageOrder="downThenOver" orientation="landscape"/>
  <headerFooter>
    <oddFooter>&amp;L&amp;C&amp;8 &amp;K666666Personal | Página &amp;P de &amp;N&amp;R</oddFooter>
  </headerFooter>
  <legacyDrawing r:id="rId2"/>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02A2A28-25BB-0578-F94D-FA9F8587ACA1}" mc:Ignorable="x14ac xr xr2 xr3">
  <sheetPr>
    <pageSetUpPr fitToPage="1"/>
  </sheetPr>
  <dimension ref="A1:T30"/>
  <sheetViews>
    <sheetView workbookViewId="0">
      <pane xSplit="6" ySplit="1" topLeftCell="G11" activePane="bottomRight" state="frozen"/>
      <selection pane="bottomLeft" activeCell="A2" sqref="A2"/>
      <selection pane="topRight" activeCell="G1" sqref="G1"/>
      <selection pane="bottomRight" activeCell="A1" sqref="A1"/>
    </sheetView>
  </sheetViews>
  <sheetFormatPr defaultRowHeight="15" defaultColWidth="8.57421875" customHeight="1"/>
  <cols>
    <col min="1" max="2" style="34" width="20.00390625" customWidth="1"/>
    <col min="3" max="3" style="34" width="24.00390625" customWidth="1"/>
    <col min="4" max="4" style="34" width="34.00390625" customWidth="1"/>
    <col min="5" max="5" style="34" width="13.00390625" customWidth="1"/>
    <col min="6" max="16" style="34" width="11.00390625" customWidth="1"/>
    <col min="17" max="17" style="34" width="26.00390625" customWidth="1"/>
    <col min="18" max="19" style="34" width="11.00390625" customWidth="1"/>
    <col min="20" max="20" style="34" width="30.00390625" customWidth="1"/>
  </cols>
  <sheetData>
    <row r="1" ht="15" customHeight="1">
      <c r="A1" s="1"/>
      <c r="B1" s="1"/>
      <c r="C1" s="1"/>
      <c r="D1" s="1"/>
      <c r="E1" s="1"/>
      <c r="F1" s="1"/>
      <c r="G1" s="1"/>
      <c r="H1" s="1"/>
      <c r="I1" s="1"/>
      <c r="J1" s="1"/>
      <c r="K1" s="1"/>
      <c r="L1" s="1"/>
      <c r="M1" s="1"/>
      <c r="N1" s="1"/>
      <c r="O1" s="1"/>
      <c r="P1" s="1"/>
      <c r="Q1" s="1"/>
      <c r="R1" s="1"/>
      <c r="S1" s="1"/>
      <c r="T1" s="1"/>
    </row>
    <row r="4" ht="24.75" customHeight="1">
      <c r="C4" s="3" t="s">
        <v>177</v>
      </c>
      <c r="D4" s="3"/>
      <c r="E4" s="3"/>
      <c r="F4" s="3"/>
      <c r="G4" s="3"/>
      <c r="H4" s="3"/>
      <c r="I4" s="3"/>
      <c r="J4" s="3"/>
      <c r="K4" s="3"/>
      <c r="L4" s="3"/>
      <c r="M4" s="3"/>
      <c r="N4" s="3"/>
      <c r="O4" s="3"/>
      <c r="P4" s="3"/>
      <c r="Q4" s="3"/>
      <c r="R4" s="3"/>
      <c r="S4" s="3"/>
      <c r="T4" s="3"/>
    </row>
    <row r="6" ht="15" customHeight="1">
      <c r="C6" s="4" t="s">
        <v>178</v>
      </c>
    </row>
    <row r="7" ht="15" customHeight="1">
      <c r="C7" s="5" t="s">
        <v>179</v>
      </c>
    </row>
    <row r="9" ht="19.5" customHeight="1">
      <c r="C9" s="6" t="s">
        <v>180</v>
      </c>
      <c r="D9" s="6"/>
      <c r="E9" s="6"/>
      <c r="F9" s="6"/>
      <c r="G9" s="6"/>
      <c r="H9" s="6"/>
      <c r="I9" s="6"/>
      <c r="J9" s="6"/>
      <c r="K9" s="6"/>
      <c r="L9" s="6"/>
      <c r="M9" s="6"/>
      <c r="N9" s="6"/>
      <c r="O9" s="6"/>
      <c r="P9" s="6"/>
      <c r="Q9" s="6"/>
      <c r="R9" s="6"/>
      <c r="S9" s="6"/>
      <c r="T9" s="6"/>
    </row>
    <row r="11" ht="33.75" customHeight="1">
      <c r="C11" s="7" t="s">
        <v>41</v>
      </c>
      <c r="D11" s="7" t="s">
        <v>42</v>
      </c>
      <c r="E11" s="7" t="s">
        <v>43</v>
      </c>
      <c r="F11" s="7" t="s">
        <v>44</v>
      </c>
      <c r="G11" s="7" t="s">
        <v>181</v>
      </c>
      <c r="H11" s="7" t="s">
        <v>182</v>
      </c>
      <c r="I11" s="7" t="s">
        <v>183</v>
      </c>
      <c r="J11" s="7" t="s">
        <v>184</v>
      </c>
      <c r="K11" s="7" t="s">
        <v>185</v>
      </c>
      <c r="L11" s="7" t="s">
        <v>186</v>
      </c>
      <c r="M11" s="7" t="s">
        <v>187</v>
      </c>
      <c r="N11" s="7" t="s">
        <v>188</v>
      </c>
      <c r="O11" s="7" t="s">
        <v>189</v>
      </c>
      <c r="P11" s="7" t="s">
        <v>190</v>
      </c>
      <c r="Q11" s="7" t="s">
        <v>191</v>
      </c>
      <c r="R11" s="7" t="s">
        <v>192</v>
      </c>
      <c r="S11" s="7" t="s">
        <v>47</v>
      </c>
      <c r="T11" s="7" t="s">
        <v>193</v>
      </c>
    </row>
    <row r="12" ht="30" customHeight="1">
      <c r="C12" s="28" t="str">
        <f>Personal!E12</f>
        <v>Martin del Castillo</v>
      </c>
      <c r="D12" s="28" t="str">
        <f>Personal!D12</f>
        <v>COO / PU General Manager</v>
      </c>
      <c r="E12" s="28" t="str">
        <f>Personal!V12</f>
        <v>Expatriado</v>
      </c>
      <c r="F12" s="28" t="str">
        <f>Personal!W12</f>
        <v>Por definir</v>
      </c>
      <c r="G12" s="29">
        <f>Personal!U12/Supuestos!$D$10</f>
        <v>37666.6666666667</v>
      </c>
      <c r="H12" s="30">
        <f>Personal!U12/Supuestos!$D$10</f>
        <v>37666.6666666667</v>
      </c>
      <c r="I12" s="30">
        <f>Personal!U12/Supuestos!$D$10</f>
        <v>37666.6666666667</v>
      </c>
      <c r="J12" s="30">
        <f>Personal!U12/Supuestos!$D$10</f>
        <v>37666.6666666667</v>
      </c>
      <c r="K12" s="30">
        <f>Personal!U12/Supuestos!$D$10</f>
        <v>37666.6666666667</v>
      </c>
      <c r="L12" s="30">
        <f>Personal!U12/Supuestos!$D$10</f>
        <v>37666.6666666667</v>
      </c>
      <c r="M12" s="30">
        <f>Personal!AA12/Supuestos!$D$11+Personal!Z12</f>
        <v>43666.6666666667</v>
      </c>
      <c r="N12" s="30">
        <f>Personal!AA12/Supuestos!$D$11</f>
        <v>43666.6666666667</v>
      </c>
      <c r="O12" s="30">
        <f>Personal!AA12/Supuestos!$D$11</f>
        <v>43666.6666666667</v>
      </c>
      <c r="P12" s="30">
        <f>Personal!AA12/Supuestos!$D$11</f>
        <v>43666.6666666667</v>
      </c>
      <c r="Q12" s="30">
        <f>Personal!AA12/Supuestos!$D$11</f>
        <v>43666.6666666667</v>
      </c>
      <c r="R12" s="30">
        <f>Personal!AA12/Supuestos!$D$11</f>
        <v>43666.6666666667</v>
      </c>
      <c r="S12" s="63">
        <f t="shared" si="0" ref="S12:S20">SUM(G12:R12)</f>
        <v>488000</v>
      </c>
      <c r="T12" s="40" t="str">
        <f t="shared" si="1" ref="T12:T20">IF(E12="Expatriado","Empresa cubre / neutraliza impuesto del país de trabajo",IF(E12="Repatriado","Empleado asume impuesto personal","Definir paquete"))</f>
        <v>Empresa cubre / neutraliza impuesto del país de trabajo</v>
      </c>
    </row>
    <row r="13" ht="30" customHeight="1">
      <c r="C13" s="31" t="str">
        <f>Personal!E13</f>
        <v>Juan Conde</v>
      </c>
      <c r="D13" s="31" t="str">
        <f>Personal!D13</f>
        <v>EPCM &amp; Engineering Manager</v>
      </c>
      <c r="E13" s="31" t="str">
        <f>Personal!V13</f>
        <v>Expatriado</v>
      </c>
      <c r="F13" s="31" t="str">
        <f>Personal!W13</f>
        <v>Por definir</v>
      </c>
      <c r="G13" s="12">
        <f>Personal!U13/Supuestos!$D$10</f>
        <v>23500</v>
      </c>
      <c r="H13" s="22">
        <f>Personal!U13/Supuestos!$D$10</f>
        <v>23500</v>
      </c>
      <c r="I13" s="22">
        <f>Personal!U13/Supuestos!$D$10</f>
        <v>23500</v>
      </c>
      <c r="J13" s="22">
        <f>Personal!U13/Supuestos!$D$10</f>
        <v>23500</v>
      </c>
      <c r="K13" s="22">
        <f>Personal!U13/Supuestos!$D$10</f>
        <v>23500</v>
      </c>
      <c r="L13" s="22">
        <f>Personal!U13/Supuestos!$D$10</f>
        <v>23500</v>
      </c>
      <c r="M13" s="22">
        <f>Personal!AA13/Supuestos!$D$11+Personal!Z13</f>
        <v>27100</v>
      </c>
      <c r="N13" s="22">
        <f>Personal!AA13/Supuestos!$D$11</f>
        <v>27100</v>
      </c>
      <c r="O13" s="22">
        <f>Personal!AA13/Supuestos!$D$11</f>
        <v>27100</v>
      </c>
      <c r="P13" s="22">
        <f>Personal!AA13/Supuestos!$D$11</f>
        <v>27100</v>
      </c>
      <c r="Q13" s="22">
        <f>Personal!AA13/Supuestos!$D$11</f>
        <v>27100</v>
      </c>
      <c r="R13" s="22">
        <f>Personal!AA13/Supuestos!$D$11</f>
        <v>27100</v>
      </c>
      <c r="S13" s="64">
        <f t="shared" si="0"/>
        <v>303600</v>
      </c>
      <c r="T13" s="42" t="str">
        <f t="shared" si="1"/>
        <v>Empresa cubre / neutraliza impuesto del país de trabajo</v>
      </c>
    </row>
    <row r="14" ht="30" customHeight="1">
      <c r="C14" s="31" t="str">
        <f>Personal!E14</f>
        <v>Alexander Stulme</v>
      </c>
      <c r="D14" s="31" t="str">
        <f>Personal!D14</f>
        <v>Drilling &amp; Well Services Manager</v>
      </c>
      <c r="E14" s="31" t="str">
        <f>Personal!V14</f>
        <v>Expatriado</v>
      </c>
      <c r="F14" s="31" t="str">
        <f>Personal!W14</f>
        <v>Por definir</v>
      </c>
      <c r="G14" s="12">
        <f>Personal!U14/Supuestos!$D$10</f>
        <v>20500</v>
      </c>
      <c r="H14" s="22">
        <f>Personal!U14/Supuestos!$D$10</f>
        <v>20500</v>
      </c>
      <c r="I14" s="22">
        <f>Personal!U14/Supuestos!$D$10</f>
        <v>20500</v>
      </c>
      <c r="J14" s="22">
        <f>Personal!U14/Supuestos!$D$10</f>
        <v>20500</v>
      </c>
      <c r="K14" s="22">
        <f>Personal!U14/Supuestos!$D$10</f>
        <v>20500</v>
      </c>
      <c r="L14" s="22">
        <f>Personal!U14/Supuestos!$D$10</f>
        <v>20500</v>
      </c>
      <c r="M14" s="22">
        <f>Personal!AA14/Supuestos!$D$11+Personal!Z14</f>
        <v>23500</v>
      </c>
      <c r="N14" s="22">
        <f>Personal!AA14/Supuestos!$D$11</f>
        <v>23500</v>
      </c>
      <c r="O14" s="22">
        <f>Personal!AA14/Supuestos!$D$11</f>
        <v>23500</v>
      </c>
      <c r="P14" s="22">
        <f>Personal!AA14/Supuestos!$D$11</f>
        <v>23500</v>
      </c>
      <c r="Q14" s="22">
        <f>Personal!AA14/Supuestos!$D$11</f>
        <v>23500</v>
      </c>
      <c r="R14" s="22">
        <f>Personal!AA14/Supuestos!$D$11</f>
        <v>23500</v>
      </c>
      <c r="S14" s="64">
        <f t="shared" si="0"/>
        <v>264000</v>
      </c>
      <c r="T14" s="42" t="str">
        <f t="shared" si="1"/>
        <v>Empresa cubre / neutraliza impuesto del país de trabajo</v>
      </c>
    </row>
    <row r="15" ht="30" customHeight="1">
      <c r="C15" s="31" t="str">
        <f>Personal!E15</f>
        <v>Félix Valderrama</v>
      </c>
      <c r="D15" s="31" t="str">
        <f>Personal!D15</f>
        <v>Operations &amp; Maintenance Manager</v>
      </c>
      <c r="E15" s="31" t="str">
        <f>Personal!V15</f>
        <v>Expatriado</v>
      </c>
      <c r="F15" s="31" t="str">
        <f>Personal!W15</f>
        <v>Por definir</v>
      </c>
      <c r="G15" s="12">
        <f>Personal!U15/Supuestos!$D$10</f>
        <v>23500</v>
      </c>
      <c r="H15" s="22">
        <f>Personal!U15/Supuestos!$D$10</f>
        <v>23500</v>
      </c>
      <c r="I15" s="22">
        <f>Personal!U15/Supuestos!$D$10</f>
        <v>23500</v>
      </c>
      <c r="J15" s="22">
        <f>Personal!U15/Supuestos!$D$10</f>
        <v>23500</v>
      </c>
      <c r="K15" s="22">
        <f>Personal!U15/Supuestos!$D$10</f>
        <v>23500</v>
      </c>
      <c r="L15" s="22">
        <f>Personal!U15/Supuestos!$D$10</f>
        <v>23500</v>
      </c>
      <c r="M15" s="22">
        <f>Personal!AA15/Supuestos!$D$11+Personal!Z15</f>
        <v>27100</v>
      </c>
      <c r="N15" s="22">
        <f>Personal!AA15/Supuestos!$D$11</f>
        <v>27100</v>
      </c>
      <c r="O15" s="22">
        <f>Personal!AA15/Supuestos!$D$11</f>
        <v>27100</v>
      </c>
      <c r="P15" s="22">
        <f>Personal!AA15/Supuestos!$D$11</f>
        <v>27100</v>
      </c>
      <c r="Q15" s="22">
        <f>Personal!AA15/Supuestos!$D$11</f>
        <v>27100</v>
      </c>
      <c r="R15" s="22">
        <f>Personal!AA15/Supuestos!$D$11</f>
        <v>27100</v>
      </c>
      <c r="S15" s="64">
        <f t="shared" si="0"/>
        <v>303600</v>
      </c>
      <c r="T15" s="42" t="str">
        <f t="shared" si="1"/>
        <v>Empresa cubre / neutraliza impuesto del país de trabajo</v>
      </c>
    </row>
    <row r="16" ht="30" customHeight="1">
      <c r="C16" s="31" t="str">
        <f>Personal!E16</f>
        <v>Alan McKeon</v>
      </c>
      <c r="D16" s="31" t="str">
        <f>Personal!D16</f>
        <v>Technical Manager (Geosciences)</v>
      </c>
      <c r="E16" s="31" t="str">
        <f>Personal!V16</f>
        <v>Expatriado</v>
      </c>
      <c r="F16" s="31" t="str">
        <f>Personal!W16</f>
        <v>Por definir</v>
      </c>
      <c r="G16" s="12">
        <f>Personal!U16/Supuestos!$D$10</f>
        <v>20500</v>
      </c>
      <c r="H16" s="22">
        <f>Personal!U16/Supuestos!$D$10</f>
        <v>20500</v>
      </c>
      <c r="I16" s="22">
        <f>Personal!U16/Supuestos!$D$10</f>
        <v>20500</v>
      </c>
      <c r="J16" s="22">
        <f>Personal!U16/Supuestos!$D$10</f>
        <v>20500</v>
      </c>
      <c r="K16" s="22">
        <f>Personal!U16/Supuestos!$D$10</f>
        <v>20500</v>
      </c>
      <c r="L16" s="22">
        <f>Personal!U16/Supuestos!$D$10</f>
        <v>20500</v>
      </c>
      <c r="M16" s="22">
        <f>Personal!AA16/Supuestos!$D$11+Personal!Z16</f>
        <v>23500</v>
      </c>
      <c r="N16" s="22">
        <f>Personal!AA16/Supuestos!$D$11</f>
        <v>23500</v>
      </c>
      <c r="O16" s="22">
        <f>Personal!AA16/Supuestos!$D$11</f>
        <v>23500</v>
      </c>
      <c r="P16" s="22">
        <f>Personal!AA16/Supuestos!$D$11</f>
        <v>23500</v>
      </c>
      <c r="Q16" s="22">
        <f>Personal!AA16/Supuestos!$D$11</f>
        <v>23500</v>
      </c>
      <c r="R16" s="22">
        <f>Personal!AA16/Supuestos!$D$11</f>
        <v>23500</v>
      </c>
      <c r="S16" s="64">
        <f t="shared" si="0"/>
        <v>264000</v>
      </c>
      <c r="T16" s="42" t="str">
        <f t="shared" si="1"/>
        <v>Empresa cubre / neutraliza impuesto del país de trabajo</v>
      </c>
    </row>
    <row r="17" ht="30" customHeight="1">
      <c r="C17" s="31" t="str">
        <f>Personal!E17</f>
        <v>JJI</v>
      </c>
      <c r="D17" s="31" t="str">
        <f>Personal!D17</f>
        <v>Reservoir Engineer</v>
      </c>
      <c r="E17" s="31" t="str">
        <f>Personal!V17</f>
        <v>Expatriado</v>
      </c>
      <c r="F17" s="31" t="str">
        <f>Personal!W17</f>
        <v>Por definir</v>
      </c>
      <c r="G17" s="12">
        <f>Personal!U17/Supuestos!$D$10</f>
        <v>14500</v>
      </c>
      <c r="H17" s="22">
        <f>Personal!U17/Supuestos!$D$10</f>
        <v>14500</v>
      </c>
      <c r="I17" s="22">
        <f>Personal!U17/Supuestos!$D$10</f>
        <v>14500</v>
      </c>
      <c r="J17" s="22">
        <f>Personal!U17/Supuestos!$D$10</f>
        <v>14500</v>
      </c>
      <c r="K17" s="22">
        <f>Personal!U17/Supuestos!$D$10</f>
        <v>14500</v>
      </c>
      <c r="L17" s="22">
        <f>Personal!U17/Supuestos!$D$10</f>
        <v>14500</v>
      </c>
      <c r="M17" s="22">
        <f>Personal!AA17/Supuestos!$D$11+Personal!Z17</f>
        <v>16166.6666666667</v>
      </c>
      <c r="N17" s="22">
        <f>Personal!AA17/Supuestos!$D$11</f>
        <v>16166.6666666667</v>
      </c>
      <c r="O17" s="22">
        <f>Personal!AA17/Supuestos!$D$11</f>
        <v>16166.6666666667</v>
      </c>
      <c r="P17" s="22">
        <f>Personal!AA17/Supuestos!$D$11</f>
        <v>16166.6666666667</v>
      </c>
      <c r="Q17" s="22">
        <f>Personal!AA17/Supuestos!$D$11</f>
        <v>16166.6666666667</v>
      </c>
      <c r="R17" s="22">
        <f>Personal!AA17/Supuestos!$D$11</f>
        <v>16166.6666666667</v>
      </c>
      <c r="S17" s="64">
        <f t="shared" si="0"/>
        <v>184000</v>
      </c>
      <c r="T17" s="42" t="str">
        <f t="shared" si="1"/>
        <v>Empresa cubre / neutraliza impuesto del país de trabajo</v>
      </c>
    </row>
    <row r="18" ht="30" customHeight="1">
      <c r="C18" s="31" t="str">
        <f>Personal!E18</f>
        <v>Marcelo Dantas</v>
      </c>
      <c r="D18" s="31" t="str">
        <f>Personal!D18</f>
        <v>Rig Company Man</v>
      </c>
      <c r="E18" s="31" t="str">
        <f>Personal!V18</f>
        <v>Expatriado</v>
      </c>
      <c r="F18" s="31" t="str">
        <f>Personal!W18</f>
        <v>Por definir</v>
      </c>
      <c r="G18" s="12">
        <f>Personal!U18/Supuestos!$D$10</f>
        <v>20500</v>
      </c>
      <c r="H18" s="22">
        <f>Personal!U18/Supuestos!$D$10</f>
        <v>20500</v>
      </c>
      <c r="I18" s="22">
        <f>Personal!U18/Supuestos!$D$10</f>
        <v>20500</v>
      </c>
      <c r="J18" s="22">
        <f>Personal!U18/Supuestos!$D$10</f>
        <v>20500</v>
      </c>
      <c r="K18" s="22">
        <f>Personal!U18/Supuestos!$D$10</f>
        <v>20500</v>
      </c>
      <c r="L18" s="22">
        <f>Personal!U18/Supuestos!$D$10</f>
        <v>20500</v>
      </c>
      <c r="M18" s="22">
        <f>Personal!AA18/Supuestos!$D$11+Personal!Z18</f>
        <v>23500</v>
      </c>
      <c r="N18" s="22">
        <f>Personal!AA18/Supuestos!$D$11</f>
        <v>23500</v>
      </c>
      <c r="O18" s="22">
        <f>Personal!AA18/Supuestos!$D$11</f>
        <v>23500</v>
      </c>
      <c r="P18" s="22">
        <f>Personal!AA18/Supuestos!$D$11</f>
        <v>23500</v>
      </c>
      <c r="Q18" s="22">
        <f>Personal!AA18/Supuestos!$D$11</f>
        <v>23500</v>
      </c>
      <c r="R18" s="22">
        <f>Personal!AA18/Supuestos!$D$11</f>
        <v>23500</v>
      </c>
      <c r="S18" s="64">
        <f t="shared" si="0"/>
        <v>264000</v>
      </c>
      <c r="T18" s="42" t="str">
        <f t="shared" si="1"/>
        <v>Empresa cubre / neutraliza impuesto del país de trabajo</v>
      </c>
    </row>
    <row r="19" ht="30" customHeight="1">
      <c r="C19" s="31" t="str">
        <f>Personal!E19</f>
        <v>Jose Miguel</v>
      </c>
      <c r="D19" s="31" t="str">
        <f>Personal!D19</f>
        <v>Planning &amp; PMO</v>
      </c>
      <c r="E19" s="31" t="str">
        <f>Personal!V19</f>
        <v>Expatriado</v>
      </c>
      <c r="F19" s="31" t="str">
        <f>Personal!W19</f>
        <v>Por definir</v>
      </c>
      <c r="G19" s="12">
        <f>Personal!U19/Supuestos!$D$10</f>
        <v>6266.66666666667</v>
      </c>
      <c r="H19" s="22">
        <f>Personal!U19/Supuestos!$D$10</f>
        <v>6266.66666666667</v>
      </c>
      <c r="I19" s="22">
        <f>Personal!U19/Supuestos!$D$10</f>
        <v>6266.66666666667</v>
      </c>
      <c r="J19" s="22">
        <f>Personal!U19/Supuestos!$D$10</f>
        <v>6266.66666666667</v>
      </c>
      <c r="K19" s="22">
        <f>Personal!U19/Supuestos!$D$10</f>
        <v>6266.66666666667</v>
      </c>
      <c r="L19" s="22">
        <f>Personal!U19/Supuestos!$D$10</f>
        <v>6266.66666666667</v>
      </c>
      <c r="M19" s="22">
        <f>Personal!AA19/Supuestos!$D$11+Personal!Z19</f>
        <v>7266.66666666667</v>
      </c>
      <c r="N19" s="22">
        <f>Personal!AA19/Supuestos!$D$11</f>
        <v>7266.66666666667</v>
      </c>
      <c r="O19" s="22">
        <f>Personal!AA19/Supuestos!$D$11</f>
        <v>7266.66666666667</v>
      </c>
      <c r="P19" s="22">
        <f>Personal!AA19/Supuestos!$D$11</f>
        <v>7266.66666666667</v>
      </c>
      <c r="Q19" s="22">
        <f>Personal!AA19/Supuestos!$D$11</f>
        <v>7266.66666666667</v>
      </c>
      <c r="R19" s="22">
        <f>Personal!AA19/Supuestos!$D$11</f>
        <v>7266.66666666667</v>
      </c>
      <c r="S19" s="64">
        <f t="shared" si="0"/>
        <v>81200</v>
      </c>
      <c r="T19" s="42" t="str">
        <f t="shared" si="1"/>
        <v>Empresa cubre / neutraliza impuesto del país de trabajo</v>
      </c>
    </row>
    <row r="20" ht="30" customHeight="1">
      <c r="C20" s="32" t="str">
        <f>Personal!E20</f>
        <v>Leticia Almeida</v>
      </c>
      <c r="D20" s="32" t="str">
        <f>Personal!D20</f>
        <v>Operations Support</v>
      </c>
      <c r="E20" s="32" t="str">
        <f>Personal!V20</f>
        <v>Expatriado</v>
      </c>
      <c r="F20" s="32" t="str">
        <f>Personal!W20</f>
        <v>Por definir</v>
      </c>
      <c r="G20" s="25">
        <f>Personal!U20/Supuestos!$D$10</f>
        <v>7266.66666666667</v>
      </c>
      <c r="H20" s="26">
        <f>Personal!U20/Supuestos!$D$10</f>
        <v>7266.66666666667</v>
      </c>
      <c r="I20" s="26">
        <f>Personal!U20/Supuestos!$D$10</f>
        <v>7266.66666666667</v>
      </c>
      <c r="J20" s="26">
        <f>Personal!U20/Supuestos!$D$10</f>
        <v>7266.66666666667</v>
      </c>
      <c r="K20" s="26">
        <f>Personal!U20/Supuestos!$D$10</f>
        <v>7266.66666666667</v>
      </c>
      <c r="L20" s="26">
        <f>Personal!U20/Supuestos!$D$10</f>
        <v>7266.66666666667</v>
      </c>
      <c r="M20" s="26">
        <f>Personal!AA20/Supuestos!$D$11+Personal!Z20</f>
        <v>7933.33333333333</v>
      </c>
      <c r="N20" s="26">
        <f>Personal!AA20/Supuestos!$D$11</f>
        <v>7933.33333333333</v>
      </c>
      <c r="O20" s="26">
        <f>Personal!AA20/Supuestos!$D$11</f>
        <v>7933.33333333333</v>
      </c>
      <c r="P20" s="26">
        <f>Personal!AA20/Supuestos!$D$11</f>
        <v>7933.33333333333</v>
      </c>
      <c r="Q20" s="26">
        <f>Personal!AA20/Supuestos!$D$11</f>
        <v>7933.33333333333</v>
      </c>
      <c r="R20" s="26">
        <f>Personal!AA20/Supuestos!$D$11</f>
        <v>7933.33333333333</v>
      </c>
      <c r="S20" s="65">
        <f t="shared" si="0"/>
        <v>91200</v>
      </c>
      <c r="T20" s="44" t="str">
        <f t="shared" si="1"/>
        <v>Empresa cubre / neutraliza impuesto del país de trabajo</v>
      </c>
    </row>
    <row r="22" ht="24" customHeight="1">
      <c r="C22" s="60" t="s">
        <v>176</v>
      </c>
      <c r="D22" s="60"/>
      <c r="E22" s="60"/>
      <c r="F22" s="60"/>
      <c r="G22" s="61">
        <f t="shared" si="2" ref="G22:S22">SUM(G12:G20)</f>
        <v>174200</v>
      </c>
      <c r="H22" s="62">
        <f t="shared" si="2"/>
        <v>174200</v>
      </c>
      <c r="I22" s="62">
        <f t="shared" si="2"/>
        <v>174200</v>
      </c>
      <c r="J22" s="62">
        <f t="shared" si="2"/>
        <v>174200</v>
      </c>
      <c r="K22" s="62">
        <f t="shared" si="2"/>
        <v>174200</v>
      </c>
      <c r="L22" s="62">
        <f t="shared" si="2"/>
        <v>174200</v>
      </c>
      <c r="M22" s="62">
        <f t="shared" si="2"/>
        <v>199733.333333333</v>
      </c>
      <c r="N22" s="62">
        <f t="shared" si="2"/>
        <v>199733.333333333</v>
      </c>
      <c r="O22" s="62">
        <f t="shared" si="2"/>
        <v>199733.333333333</v>
      </c>
      <c r="P22" s="62">
        <f t="shared" si="2"/>
        <v>199733.333333333</v>
      </c>
      <c r="Q22" s="62">
        <f t="shared" si="2"/>
        <v>199733.333333333</v>
      </c>
      <c r="R22" s="62">
        <f t="shared" si="2"/>
        <v>199733.333333333</v>
      </c>
      <c r="S22" s="62">
        <f t="shared" si="2"/>
        <v>2243600</v>
      </c>
      <c r="T22" s="59"/>
    </row>
    <row r="25" ht="19.5" customHeight="1">
      <c r="C25" s="6" t="s">
        <v>195</v>
      </c>
      <c r="D25" s="6"/>
      <c r="E25" s="6"/>
      <c r="F25" s="6"/>
      <c r="G25" s="6"/>
      <c r="H25" s="6"/>
      <c r="I25" s="6"/>
      <c r="J25" s="6"/>
      <c r="K25" s="6"/>
      <c r="L25" s="6"/>
      <c r="M25" s="6"/>
      <c r="N25" s="6"/>
      <c r="O25" s="6"/>
      <c r="P25" s="6"/>
      <c r="Q25" s="6"/>
      <c r="R25" s="6"/>
      <c r="S25" s="6"/>
      <c r="T25" s="6"/>
    </row>
    <row r="26" ht="33.75" customHeight="1">
      <c r="C26" s="7" t="s">
        <v>30</v>
      </c>
      <c r="D26" s="7" t="s">
        <v>181</v>
      </c>
      <c r="E26" s="7" t="s">
        <v>182</v>
      </c>
      <c r="F26" s="7" t="s">
        <v>183</v>
      </c>
      <c r="G26" s="7" t="s">
        <v>184</v>
      </c>
      <c r="H26" s="7" t="s">
        <v>185</v>
      </c>
      <c r="I26" s="7" t="s">
        <v>186</v>
      </c>
      <c r="J26" s="7" t="s">
        <v>187</v>
      </c>
      <c r="K26" s="7" t="s">
        <v>188</v>
      </c>
      <c r="L26" s="7" t="s">
        <v>189</v>
      </c>
      <c r="M26" s="7" t="s">
        <v>190</v>
      </c>
      <c r="N26" s="7" t="s">
        <v>191</v>
      </c>
      <c r="O26" s="7" t="s">
        <v>192</v>
      </c>
      <c r="P26" s="7" t="s">
        <v>47</v>
      </c>
      <c r="Q26" s="7" t="s">
        <v>196</v>
      </c>
    </row>
    <row r="27" ht="30" customHeight="1">
      <c r="C27" s="19" t="s">
        <v>36</v>
      </c>
      <c r="D27" s="9">
        <f>Personal!U22/Supuestos!$D$10</f>
        <v>174200</v>
      </c>
      <c r="E27" s="20">
        <f>Personal!U22/Supuestos!$D$10</f>
        <v>174200</v>
      </c>
      <c r="F27" s="20">
        <f>Personal!U22/Supuestos!$D$10</f>
        <v>174200</v>
      </c>
      <c r="G27" s="20">
        <f>Personal!U22/Supuestos!$D$10</f>
        <v>174200</v>
      </c>
      <c r="H27" s="20">
        <f>Personal!U22/Supuestos!$D$10</f>
        <v>174200</v>
      </c>
      <c r="I27" s="20">
        <f>Personal!U22/Supuestos!$D$10</f>
        <v>174200</v>
      </c>
      <c r="J27" s="63">
        <f t="shared" si="3" ref="J27:O27">M22</f>
        <v>199733.333333333</v>
      </c>
      <c r="K27" s="63">
        <f t="shared" si="3"/>
        <v>199733.333333333</v>
      </c>
      <c r="L27" s="63">
        <f t="shared" si="3"/>
        <v>199733.333333333</v>
      </c>
      <c r="M27" s="63">
        <f t="shared" si="3"/>
        <v>199733.333333333</v>
      </c>
      <c r="N27" s="63">
        <f t="shared" si="3"/>
        <v>199733.333333333</v>
      </c>
      <c r="O27" s="63">
        <f t="shared" si="3"/>
        <v>199733.333333333</v>
      </c>
      <c r="P27" s="63">
        <f t="shared" si="4" ref="P27:P30">SUM(D27:O27)</f>
        <v>2243600</v>
      </c>
      <c r="Q27" s="10" t="s">
        <v>197</v>
      </c>
    </row>
    <row r="28" ht="30" customHeight="1">
      <c r="C28" s="21" t="s">
        <v>198</v>
      </c>
      <c r="D28" s="12">
        <f>Personal!U22/Supuestos!$D$10</f>
        <v>174200</v>
      </c>
      <c r="E28" s="22">
        <f>Personal!U22/Supuestos!$D$10</f>
        <v>174200</v>
      </c>
      <c r="F28" s="22">
        <f>Personal!U22/Supuestos!$D$10</f>
        <v>174200</v>
      </c>
      <c r="G28" s="22">
        <f>Personal!U22/Supuestos!$D$10</f>
        <v>174200</v>
      </c>
      <c r="H28" s="22">
        <f>Personal!U22/Supuestos!$D$10</f>
        <v>174200</v>
      </c>
      <c r="I28" s="22">
        <f>Personal!U22/Supuestos!$D$10</f>
        <v>174200</v>
      </c>
      <c r="J28" s="22">
        <f>(SUM(Personal!F12:F20)+SUM(Personal!G12:G20)+SUM(Personal!H12:H20)+SUM(Personal!I12:I20)+SUM(Personal!J12:J20)+SUM(Personal!K12:K20)*Supuestos!$D$14)/12</f>
        <v>199733.333333333</v>
      </c>
      <c r="K28" s="22">
        <f>(SUM(Personal!F12:F20)+SUM(Personal!G12:G20)+SUM(Personal!H12:H20)+SUM(Personal!I12:I20)+SUM(Personal!J12:J20)+SUM(Personal!K12:K20)*Supuestos!$D$14)/12</f>
        <v>199733.333333333</v>
      </c>
      <c r="L28" s="22">
        <f>(SUM(Personal!F12:F20)+SUM(Personal!G12:G20)+SUM(Personal!H12:H20)+SUM(Personal!I12:I20)+SUM(Personal!J12:J20)+SUM(Personal!K12:K20)*Supuestos!$D$14)/12</f>
        <v>199733.333333333</v>
      </c>
      <c r="M28" s="22">
        <f>(SUM(Personal!F12:F20)+SUM(Personal!G12:G20)+SUM(Personal!H12:H20)+SUM(Personal!I12:I20)+SUM(Personal!J12:J20)+SUM(Personal!K12:K20)*Supuestos!$D$14)/12</f>
        <v>199733.333333333</v>
      </c>
      <c r="N28" s="22">
        <f>(SUM(Personal!F12:F20)+SUM(Personal!G12:G20)+SUM(Personal!H12:H20)+SUM(Personal!I12:I20)+SUM(Personal!J12:J20)+SUM(Personal!K12:K20)*Supuestos!$D$14)/12</f>
        <v>199733.333333333</v>
      </c>
      <c r="O28" s="22">
        <f>(SUM(Personal!F12:F20)+SUM(Personal!G12:G20)+SUM(Personal!H12:H20)+SUM(Personal!I12:I20)+SUM(Personal!J12:J20)+SUM(Personal!K12:K20)*Supuestos!$D$14)/12</f>
        <v>199733.333333333</v>
      </c>
      <c r="P28" s="23">
        <f t="shared" si="4"/>
        <v>2243600</v>
      </c>
      <c r="Q28" s="13" t="s">
        <v>194</v>
      </c>
    </row>
    <row r="29" ht="30" customHeight="1">
      <c r="C29" s="21" t="s">
        <v>199</v>
      </c>
      <c r="D29" s="12">
        <f>Personal!U22/Supuestos!$D$10</f>
        <v>174200</v>
      </c>
      <c r="E29" s="22">
        <f>Personal!U22/Supuestos!$D$10</f>
        <v>174200</v>
      </c>
      <c r="F29" s="22">
        <f>Personal!U22/Supuestos!$D$10</f>
        <v>174200</v>
      </c>
      <c r="G29" s="22">
        <f>Personal!U22/Supuestos!$D$10</f>
        <v>174200</v>
      </c>
      <c r="H29" s="22">
        <f>Personal!U22/Supuestos!$D$10</f>
        <v>174200</v>
      </c>
      <c r="I29" s="22">
        <f>Personal!U22/Supuestos!$D$10</f>
        <v>174200</v>
      </c>
      <c r="J29" s="22">
        <f>(SUM(Personal!F12:F20)+SUM(Personal!G12:G20)+SUM(Personal!H12:H20)+SUM(Personal!J12:J20)+SUM(Personal!K12:K20)*Supuestos!$D$13)/12</f>
        <v>165533.333333333</v>
      </c>
      <c r="K29" s="22">
        <f>(SUM(Personal!F12:F20)+SUM(Personal!G12:G20)+SUM(Personal!H12:H20)+SUM(Personal!J12:J20)+SUM(Personal!K12:K20)*Supuestos!$D$13)/12</f>
        <v>165533.333333333</v>
      </c>
      <c r="L29" s="22">
        <f>(SUM(Personal!F12:F20)+SUM(Personal!G12:G20)+SUM(Personal!H12:H20)+SUM(Personal!J12:J20)+SUM(Personal!K12:K20)*Supuestos!$D$13)/12</f>
        <v>165533.333333333</v>
      </c>
      <c r="M29" s="22">
        <f>(SUM(Personal!F12:F20)+SUM(Personal!G12:G20)+SUM(Personal!H12:H20)+SUM(Personal!J12:J20)+SUM(Personal!K12:K20)*Supuestos!$D$13)/12</f>
        <v>165533.333333333</v>
      </c>
      <c r="N29" s="22">
        <f>(SUM(Personal!F12:F20)+SUM(Personal!G12:G20)+SUM(Personal!H12:H20)+SUM(Personal!J12:J20)+SUM(Personal!K12:K20)*Supuestos!$D$13)/12</f>
        <v>165533.333333333</v>
      </c>
      <c r="O29" s="22">
        <f>(SUM(Personal!F12:F20)+SUM(Personal!G12:G20)+SUM(Personal!H12:H20)+SUM(Personal!J12:J20)+SUM(Personal!K12:K20)*Supuestos!$D$13)/12</f>
        <v>165533.333333333</v>
      </c>
      <c r="P29" s="23">
        <f t="shared" si="4"/>
        <v>2038400</v>
      </c>
      <c r="Q29" s="13" t="s">
        <v>200</v>
      </c>
    </row>
    <row r="30" ht="30" customHeight="1">
      <c r="C30" s="24" t="s">
        <v>201</v>
      </c>
      <c r="D30" s="25">
        <f>Personal!U22/Supuestos!$D$10</f>
        <v>174200</v>
      </c>
      <c r="E30" s="26">
        <f>Personal!U22/Supuestos!$D$10</f>
        <v>174200</v>
      </c>
      <c r="F30" s="26">
        <f>Personal!U22/Supuestos!$D$10</f>
        <v>174200</v>
      </c>
      <c r="G30" s="26">
        <f>Personal!U22/Supuestos!$D$10</f>
        <v>174200</v>
      </c>
      <c r="H30" s="26">
        <f>Personal!U22/Supuestos!$D$10</f>
        <v>174200</v>
      </c>
      <c r="I30" s="26">
        <f>Personal!U22/Supuestos!$D$10</f>
        <v>174200</v>
      </c>
      <c r="J30" s="26">
        <f>(SUM(Personal!F12:F20)+SUM(Personal!H12:H20)+SUM(Personal!J12:J20)+SUM(Personal!K12:K20)*Supuestos!$D$13)/12</f>
        <v>149033.333333333</v>
      </c>
      <c r="K30" s="26">
        <f>(SUM(Personal!F12:F20)+SUM(Personal!H12:H20)+SUM(Personal!J12:J20)+SUM(Personal!K12:K20)*Supuestos!$D$13)/12</f>
        <v>149033.333333333</v>
      </c>
      <c r="L30" s="26">
        <f>(SUM(Personal!F12:F20)+SUM(Personal!H12:H20)+SUM(Personal!J12:J20)+SUM(Personal!K12:K20)*Supuestos!$D$13)/12</f>
        <v>149033.333333333</v>
      </c>
      <c r="M30" s="26">
        <f>(SUM(Personal!F12:F20)+SUM(Personal!H12:H20)+SUM(Personal!J12:J20)+SUM(Personal!K12:K20)*Supuestos!$D$13)/12</f>
        <v>149033.333333333</v>
      </c>
      <c r="N30" s="26">
        <f>(SUM(Personal!F12:F20)+SUM(Personal!H12:H20)+SUM(Personal!J12:J20)+SUM(Personal!K12:K20)*Supuestos!$D$13)/12</f>
        <v>149033.333333333</v>
      </c>
      <c r="O30" s="26">
        <f>(SUM(Personal!F12:F20)+SUM(Personal!H12:H20)+SUM(Personal!J12:J20)+SUM(Personal!K12:K20)*Supuestos!$D$13)/12</f>
        <v>149033.333333333</v>
      </c>
      <c r="P30" s="27">
        <f t="shared" si="4"/>
        <v>1939400</v>
      </c>
      <c r="Q30" s="18" t="s">
        <v>200</v>
      </c>
    </row>
  </sheetData>
  <mergeCells>
    <mergeCell ref="C4:T4"/>
    <mergeCell ref="C9:T9"/>
    <mergeCell ref="C22:F22"/>
    <mergeCell ref="C25:T25"/>
  </mergeCells>
  <printOptions headings="1"/>
  <pageMargins left="0.75" right="0.75" top="1" bottom="1" header="0.51" footer="0.5"/>
  <pageSetup useFirstPageNumber="1" paperSize="1" fitToHeight="0" pageOrder="downThenOver" orientation="landscape"/>
  <headerFooter>
    <oddFooter>&amp;L&amp;C&amp;8 &amp;K666666Mensual | Página &amp;P de &amp;N&amp;R</oddFooter>
  </headerFooter>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ED1E0048-7718-AA34-7BA8-076531F7A3C7}" mc:Ignorable="x14ac xr xr2 xr3">
  <sheetPr>
    <pageSetUpPr fitToPage="1"/>
  </sheetPr>
  <dimension ref="A1:K35"/>
  <sheetViews>
    <sheetView topLeftCell="A1" workbookViewId="0">
      <pane ySplit="1" topLeftCell="A2" activePane="bottomLeft" state="frozen"/>
      <selection pane="bottomLeft" activeCell="A1" sqref="A1"/>
    </sheetView>
  </sheetViews>
  <sheetFormatPr defaultRowHeight="15" defaultColWidth="8.57421875" customHeight="1"/>
  <cols>
    <col min="1" max="2" style="34" width="20.00390625" customWidth="1"/>
    <col min="3" max="3" style="34" width="22.00390625" customWidth="1"/>
    <col min="4" max="11" style="34" width="12.00390625" customWidth="1"/>
  </cols>
  <sheetData>
    <row r="1" ht="15" customHeight="1">
      <c r="A1" s="1"/>
      <c r="B1" s="1"/>
      <c r="C1" s="1"/>
      <c r="D1" s="1"/>
      <c r="E1" s="1"/>
      <c r="F1" s="1"/>
      <c r="G1" s="1"/>
      <c r="H1" s="1"/>
      <c r="I1" s="1"/>
      <c r="J1" s="1"/>
      <c r="K1" s="1"/>
    </row>
    <row r="4" ht="24.75" customHeight="1">
      <c r="C4" s="3" t="s">
        <v>202</v>
      </c>
      <c r="D4" s="3"/>
      <c r="E4" s="3"/>
      <c r="F4" s="3"/>
      <c r="G4" s="3"/>
      <c r="H4" s="3"/>
      <c r="I4" s="3"/>
      <c r="J4" s="3"/>
      <c r="K4" s="3"/>
    </row>
    <row r="6" ht="15" customHeight="1">
      <c r="C6" s="4" t="s">
        <v>203</v>
      </c>
    </row>
    <row r="7" ht="15" customHeight="1">
      <c r="C7" s="5" t="s">
        <v>204</v>
      </c>
    </row>
    <row r="9" ht="19.5" customHeight="1">
      <c r="C9" s="6" t="s">
        <v>205</v>
      </c>
      <c r="D9" s="6"/>
      <c r="E9" s="6"/>
      <c r="F9" s="6"/>
      <c r="G9" s="6"/>
      <c r="H9" s="6"/>
      <c r="I9" s="6"/>
      <c r="J9" s="6"/>
      <c r="K9" s="6"/>
    </row>
    <row r="10" ht="24" customHeight="1">
      <c r="C10" s="33" t="s">
        <v>206</v>
      </c>
      <c r="D10" s="33"/>
      <c r="E10" s="33"/>
      <c r="F10" s="33"/>
      <c r="G10" s="33"/>
      <c r="H10" s="33"/>
      <c r="I10" s="33"/>
      <c r="J10" s="33"/>
      <c r="K10" s="33"/>
    </row>
    <row r="11" ht="24" customHeight="1">
      <c r="C11" s="33" t="s">
        <v>207</v>
      </c>
      <c r="D11" s="33"/>
      <c r="E11" s="33"/>
      <c r="F11" s="33"/>
      <c r="G11" s="33"/>
      <c r="H11" s="33"/>
      <c r="I11" s="33"/>
      <c r="J11" s="33"/>
      <c r="K11" s="33"/>
    </row>
    <row r="12" ht="24" customHeight="1">
      <c r="C12" s="33" t="s">
        <v>208</v>
      </c>
      <c r="D12" s="33"/>
      <c r="E12" s="33"/>
      <c r="F12" s="33"/>
      <c r="G12" s="33"/>
      <c r="H12" s="33"/>
      <c r="I12" s="33"/>
      <c r="J12" s="33"/>
      <c r="K12" s="33"/>
    </row>
    <row r="13" ht="24" customHeight="1">
      <c r="C13" s="33" t="s">
        <v>209</v>
      </c>
      <c r="D13" s="33"/>
      <c r="E13" s="33"/>
      <c r="F13" s="33"/>
      <c r="G13" s="33"/>
      <c r="H13" s="33"/>
      <c r="I13" s="33"/>
      <c r="J13" s="33"/>
      <c r="K13" s="33"/>
    </row>
    <row r="15" ht="19.5" customHeight="1">
      <c r="C15" s="6" t="s">
        <v>210</v>
      </c>
      <c r="D15" s="6"/>
      <c r="E15" s="6"/>
      <c r="F15" s="6"/>
      <c r="G15" s="6"/>
      <c r="H15" s="6"/>
      <c r="I15" s="6"/>
      <c r="J15" s="6"/>
      <c r="K15" s="6"/>
    </row>
    <row r="16" ht="24" customHeight="1">
      <c r="C16" s="33" t="s">
        <v>211</v>
      </c>
      <c r="D16" s="33"/>
      <c r="E16" s="33"/>
      <c r="F16" s="33"/>
      <c r="G16" s="33"/>
      <c r="H16" s="33"/>
      <c r="I16" s="33"/>
      <c r="J16" s="33"/>
      <c r="K16" s="33"/>
    </row>
    <row r="17" ht="24" customHeight="1">
      <c r="C17" s="33" t="s">
        <v>212</v>
      </c>
      <c r="D17" s="33"/>
      <c r="E17" s="33"/>
      <c r="F17" s="33"/>
      <c r="G17" s="33"/>
      <c r="H17" s="33"/>
      <c r="I17" s="33"/>
      <c r="J17" s="33"/>
      <c r="K17" s="33"/>
    </row>
    <row r="18" ht="24" customHeight="1">
      <c r="C18" s="33" t="s">
        <v>213</v>
      </c>
      <c r="D18" s="33"/>
      <c r="E18" s="33"/>
      <c r="F18" s="33"/>
      <c r="G18" s="33"/>
      <c r="H18" s="33"/>
      <c r="I18" s="33"/>
      <c r="J18" s="33"/>
      <c r="K18" s="33"/>
    </row>
    <row r="19" ht="24" customHeight="1">
      <c r="C19" s="33" t="s">
        <v>214</v>
      </c>
      <c r="D19" s="33"/>
      <c r="E19" s="33"/>
      <c r="F19" s="33"/>
      <c r="G19" s="33"/>
      <c r="H19" s="33"/>
      <c r="I19" s="33"/>
      <c r="J19" s="33"/>
      <c r="K19" s="33"/>
    </row>
    <row r="20" ht="33.75" customHeight="1">
      <c r="C20" s="33" t="s">
        <v>215</v>
      </c>
      <c r="D20" s="33"/>
      <c r="E20" s="33"/>
      <c r="F20" s="33"/>
      <c r="G20" s="33"/>
      <c r="H20" s="33"/>
      <c r="I20" s="33"/>
      <c r="J20" s="33"/>
      <c r="K20" s="33"/>
    </row>
    <row r="21" ht="24" customHeight="1">
      <c r="C21" s="33" t="s">
        <v>216</v>
      </c>
      <c r="D21" s="33"/>
      <c r="E21" s="33"/>
      <c r="F21" s="33"/>
      <c r="G21" s="33"/>
      <c r="H21" s="33"/>
      <c r="I21" s="33"/>
      <c r="J21" s="33"/>
      <c r="K21" s="33"/>
    </row>
    <row r="22" ht="19.5" customHeight="1">
      <c r="C22" s="6" t="s">
        <v>217</v>
      </c>
      <c r="D22" s="6"/>
      <c r="E22" s="6"/>
      <c r="F22" s="6"/>
      <c r="G22" s="6"/>
      <c r="H22" s="6"/>
      <c r="I22" s="6"/>
      <c r="J22" s="6"/>
      <c r="K22" s="6"/>
    </row>
    <row r="23" ht="24" customHeight="1">
      <c r="C23" s="33" t="s">
        <v>218</v>
      </c>
      <c r="D23" s="33"/>
      <c r="E23" s="33"/>
      <c r="F23" s="33"/>
      <c r="G23" s="33"/>
      <c r="H23" s="33"/>
      <c r="I23" s="33"/>
      <c r="J23" s="33"/>
      <c r="K23" s="33"/>
    </row>
    <row r="24" ht="33.75" customHeight="1">
      <c r="C24" s="33" t="s">
        <v>219</v>
      </c>
      <c r="D24" s="33"/>
      <c r="E24" s="33"/>
      <c r="F24" s="33"/>
      <c r="G24" s="33"/>
      <c r="H24" s="33"/>
      <c r="I24" s="33"/>
      <c r="J24" s="33"/>
      <c r="K24" s="33"/>
    </row>
    <row r="25" ht="33.75" customHeight="1">
      <c r="C25" s="33" t="s">
        <v>220</v>
      </c>
      <c r="D25" s="33"/>
      <c r="E25" s="33"/>
      <c r="F25" s="33"/>
      <c r="G25" s="33"/>
      <c r="H25" s="33"/>
      <c r="I25" s="33"/>
      <c r="J25" s="33"/>
      <c r="K25" s="33"/>
    </row>
    <row r="26" ht="24" customHeight="1">
      <c r="C26" s="33" t="s">
        <v>221</v>
      </c>
      <c r="D26" s="33"/>
      <c r="E26" s="33"/>
      <c r="F26" s="33"/>
      <c r="G26" s="33"/>
      <c r="H26" s="33"/>
      <c r="I26" s="33"/>
      <c r="J26" s="33"/>
      <c r="K26" s="33"/>
    </row>
    <row r="27" ht="19.5" customHeight="1">
      <c r="C27" s="6" t="s">
        <v>222</v>
      </c>
      <c r="D27" s="6"/>
      <c r="E27" s="6"/>
      <c r="F27" s="6"/>
      <c r="G27" s="6"/>
      <c r="H27" s="6"/>
      <c r="I27" s="6"/>
      <c r="J27" s="6"/>
      <c r="K27" s="6"/>
    </row>
    <row r="28" ht="33.75" customHeight="1">
      <c r="C28" s="33" t="s">
        <v>223</v>
      </c>
      <c r="D28" s="33"/>
      <c r="E28" s="33"/>
      <c r="F28" s="33"/>
      <c r="G28" s="33"/>
      <c r="H28" s="33"/>
      <c r="I28" s="33"/>
      <c r="J28" s="33"/>
      <c r="K28" s="33"/>
    </row>
    <row r="29" ht="24" customHeight="1">
      <c r="C29" s="33" t="s">
        <v>224</v>
      </c>
      <c r="D29" s="33"/>
      <c r="E29" s="33"/>
      <c r="F29" s="33"/>
      <c r="G29" s="33"/>
      <c r="H29" s="33"/>
      <c r="I29" s="33"/>
      <c r="J29" s="33"/>
      <c r="K29" s="33"/>
    </row>
    <row r="31" ht="19.5" customHeight="1">
      <c r="C31" s="6" t="s">
        <v>225</v>
      </c>
      <c r="D31" s="6"/>
      <c r="E31" s="6"/>
      <c r="F31" s="6"/>
      <c r="G31" s="6"/>
      <c r="H31" s="6"/>
      <c r="I31" s="6"/>
      <c r="J31" s="6"/>
      <c r="K31" s="6"/>
    </row>
    <row r="32" ht="15" customHeight="1">
      <c r="C32" s="46" t="s">
        <v>226</v>
      </c>
      <c r="D32" s="46"/>
      <c r="E32" s="46"/>
      <c r="F32" s="46"/>
      <c r="G32" s="46"/>
      <c r="H32" s="46"/>
      <c r="I32" s="46"/>
      <c r="J32" s="46"/>
      <c r="K32" s="46"/>
    </row>
    <row r="33" ht="15" customHeight="1">
      <c r="C33" s="46"/>
      <c r="D33" s="46"/>
      <c r="E33" s="46"/>
      <c r="F33" s="46"/>
      <c r="G33" s="46"/>
      <c r="H33" s="46"/>
      <c r="I33" s="46"/>
      <c r="J33" s="46"/>
      <c r="K33" s="46"/>
    </row>
    <row r="34" ht="15" customHeight="1">
      <c r="C34" s="46"/>
      <c r="D34" s="46"/>
      <c r="E34" s="46"/>
      <c r="F34" s="46"/>
      <c r="G34" s="46"/>
      <c r="H34" s="46"/>
      <c r="I34" s="46"/>
      <c r="J34" s="46"/>
      <c r="K34" s="46"/>
    </row>
    <row r="35" ht="15" customHeight="1">
      <c r="C35" s="46"/>
      <c r="D35" s="46"/>
      <c r="E35" s="46"/>
      <c r="F35" s="46"/>
      <c r="G35" s="46"/>
      <c r="H35" s="46"/>
      <c r="I35" s="46"/>
      <c r="J35" s="46"/>
      <c r="K35" s="46"/>
    </row>
  </sheetData>
  <mergeCells>
    <mergeCell ref="C4:K4"/>
    <mergeCell ref="C9:K9"/>
    <mergeCell ref="C10:K10"/>
    <mergeCell ref="C11:K11"/>
    <mergeCell ref="C12:K12"/>
    <mergeCell ref="C13:K13"/>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1:K31"/>
    <mergeCell ref="C32:K35"/>
  </mergeCells>
  <printOptions headings="1"/>
  <pageMargins left="0.75" right="0.75" top="1" bottom="1" header="0.51" footer="0.5"/>
  <pageSetup useFirstPageNumber="1" paperSize="1" pageOrder="downThenOver" orientation="landscape"/>
  <headerFooter>
    <oddFooter>&amp;L&amp;C&amp;8 &amp;K666666Definiciones | Página &amp;P de &amp;N&amp;R</oddFooter>
  </headerFooter>
  <extLst/>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